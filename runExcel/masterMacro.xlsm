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y\runExcel\"/>
    </mc:Choice>
  </mc:AlternateContent>
  <bookViews>
    <workbookView xWindow="0" yWindow="0" windowWidth="17520" windowHeight="5400" activeTab="1"/>
  </bookViews>
  <sheets>
    <sheet name="Pivot" sheetId="3" r:id="rId1"/>
    <sheet name="SourceData" sheetId="1" r:id="rId2"/>
    <sheet name="Chart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E3" i="1"/>
  <c r="G3" i="1" s="1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4" i="3"/>
  <c r="AF5" i="3"/>
  <c r="AE5" i="3" s="1"/>
  <c r="AD5" i="3" s="1"/>
  <c r="AC5" i="3" s="1"/>
  <c r="AE4" i="3"/>
  <c r="AD4" i="3" s="1"/>
  <c r="AC4" i="3" s="1"/>
  <c r="E4" i="1" l="1"/>
  <c r="G4" i="1" s="1"/>
  <c r="AA4" i="3"/>
  <c r="AF6" i="3"/>
  <c r="AA5" i="3"/>
  <c r="E5" i="1" l="1"/>
  <c r="G5" i="1" s="1"/>
  <c r="AF7" i="3"/>
  <c r="AE6" i="3"/>
  <c r="AD6" i="3" s="1"/>
  <c r="AC6" i="3" s="1"/>
  <c r="AA6" i="3" s="1"/>
  <c r="E6" i="1" l="1"/>
  <c r="G6" i="1" s="1"/>
  <c r="AE7" i="3"/>
  <c r="AD7" i="3" s="1"/>
  <c r="AC7" i="3" s="1"/>
  <c r="AA7" i="3" s="1"/>
  <c r="AF8" i="3"/>
  <c r="E7" i="1" l="1"/>
  <c r="G7" i="1" s="1"/>
  <c r="AE8" i="3"/>
  <c r="AD8" i="3" s="1"/>
  <c r="AC8" i="3" s="1"/>
  <c r="AA8" i="3" s="1"/>
  <c r="AF9" i="3"/>
  <c r="E8" i="1" l="1"/>
  <c r="G8" i="1" s="1"/>
  <c r="AE9" i="3"/>
  <c r="AD9" i="3" s="1"/>
  <c r="AC9" i="3" s="1"/>
  <c r="AA9" i="3" s="1"/>
  <c r="AF10" i="3"/>
  <c r="E9" i="1" l="1"/>
  <c r="G9" i="1" s="1"/>
  <c r="AE10" i="3"/>
  <c r="AD10" i="3" s="1"/>
  <c r="AC10" i="3" s="1"/>
  <c r="AA10" i="3" s="1"/>
  <c r="AF11" i="3"/>
  <c r="E10" i="1" l="1"/>
  <c r="G10" i="1" s="1"/>
  <c r="AE11" i="3"/>
  <c r="AD11" i="3" s="1"/>
  <c r="AC11" i="3" s="1"/>
  <c r="AA11" i="3" s="1"/>
  <c r="AF12" i="3"/>
  <c r="E11" i="1" l="1"/>
  <c r="G11" i="1" s="1"/>
  <c r="AE12" i="3"/>
  <c r="AD12" i="3" s="1"/>
  <c r="AC12" i="3" s="1"/>
  <c r="AA12" i="3" s="1"/>
  <c r="AF13" i="3"/>
  <c r="E12" i="1" l="1"/>
  <c r="G12" i="1" s="1"/>
  <c r="AE13" i="3"/>
  <c r="AD13" i="3" s="1"/>
  <c r="AC13" i="3" s="1"/>
  <c r="AA13" i="3" s="1"/>
  <c r="AF14" i="3"/>
  <c r="E13" i="1" l="1"/>
  <c r="G13" i="1" s="1"/>
  <c r="AE14" i="3"/>
  <c r="AD14" i="3" s="1"/>
  <c r="AC14" i="3" s="1"/>
  <c r="AA14" i="3" s="1"/>
  <c r="AF15" i="3"/>
  <c r="E14" i="1" l="1"/>
  <c r="G14" i="1" s="1"/>
  <c r="AE15" i="3"/>
  <c r="AD15" i="3" s="1"/>
  <c r="AC15" i="3" s="1"/>
  <c r="AA15" i="3" s="1"/>
  <c r="AF16" i="3"/>
  <c r="E15" i="1" l="1"/>
  <c r="G15" i="1" s="1"/>
  <c r="AE16" i="3"/>
  <c r="AD16" i="3" s="1"/>
  <c r="AC16" i="3" s="1"/>
  <c r="AA16" i="3" s="1"/>
  <c r="AF17" i="3"/>
  <c r="E16" i="1" l="1"/>
  <c r="G16" i="1" s="1"/>
  <c r="AE17" i="3"/>
  <c r="AD17" i="3" s="1"/>
  <c r="AC17" i="3" s="1"/>
  <c r="AA17" i="3" s="1"/>
  <c r="AF18" i="3"/>
  <c r="E17" i="1" l="1"/>
  <c r="G17" i="1" s="1"/>
  <c r="AE18" i="3"/>
  <c r="AD18" i="3" s="1"/>
  <c r="AC18" i="3" s="1"/>
  <c r="AA18" i="3" s="1"/>
  <c r="AF19" i="3"/>
  <c r="E18" i="1" l="1"/>
  <c r="G18" i="1" s="1"/>
  <c r="AE19" i="3"/>
  <c r="AD19" i="3" s="1"/>
  <c r="AC19" i="3" s="1"/>
  <c r="AA19" i="3" s="1"/>
  <c r="AF20" i="3"/>
  <c r="E19" i="1" l="1"/>
  <c r="G19" i="1" s="1"/>
  <c r="AE20" i="3"/>
  <c r="AD20" i="3" s="1"/>
  <c r="AC20" i="3" s="1"/>
  <c r="AA20" i="3" s="1"/>
  <c r="AF21" i="3"/>
  <c r="E20" i="1" l="1"/>
  <c r="G20" i="1" s="1"/>
  <c r="AE21" i="3"/>
  <c r="AD21" i="3" s="1"/>
  <c r="AC21" i="3" s="1"/>
  <c r="AA21" i="3" s="1"/>
  <c r="AF22" i="3"/>
  <c r="E21" i="1" l="1"/>
  <c r="G21" i="1" s="1"/>
  <c r="AE22" i="3"/>
  <c r="AD22" i="3" s="1"/>
  <c r="AC22" i="3" s="1"/>
  <c r="AA22" i="3" s="1"/>
  <c r="AF23" i="3"/>
  <c r="E22" i="1" l="1"/>
  <c r="G22" i="1" s="1"/>
  <c r="AE23" i="3"/>
  <c r="AD23" i="3" s="1"/>
  <c r="AC23" i="3" s="1"/>
  <c r="AA23" i="3" s="1"/>
  <c r="AF24" i="3"/>
  <c r="E23" i="1" l="1"/>
  <c r="G23" i="1" s="1"/>
  <c r="AE24" i="3"/>
  <c r="AD24" i="3" s="1"/>
  <c r="AC24" i="3" s="1"/>
  <c r="AA24" i="3" s="1"/>
  <c r="AF25" i="3"/>
  <c r="E24" i="1" l="1"/>
  <c r="G24" i="1" s="1"/>
  <c r="AE25" i="3"/>
  <c r="AD25" i="3" s="1"/>
  <c r="AC25" i="3" s="1"/>
  <c r="AA25" i="3" s="1"/>
  <c r="AF26" i="3"/>
  <c r="E25" i="1" l="1"/>
  <c r="G25" i="1" s="1"/>
  <c r="AE26" i="3"/>
  <c r="AD26" i="3" s="1"/>
  <c r="AC26" i="3" s="1"/>
  <c r="AA26" i="3" s="1"/>
  <c r="AF27" i="3"/>
  <c r="E26" i="1" l="1"/>
  <c r="G26" i="1" s="1"/>
  <c r="AE27" i="3"/>
  <c r="AD27" i="3" s="1"/>
  <c r="AC27" i="3" s="1"/>
  <c r="AA27" i="3" s="1"/>
  <c r="AF28" i="3"/>
  <c r="E27" i="1" l="1"/>
  <c r="G27" i="1" s="1"/>
  <c r="AE28" i="3"/>
  <c r="AD28" i="3" s="1"/>
  <c r="AC28" i="3" s="1"/>
  <c r="AA28" i="3" s="1"/>
  <c r="AF29" i="3"/>
  <c r="E28" i="1" l="1"/>
  <c r="G28" i="1" s="1"/>
  <c r="AE29" i="3"/>
  <c r="AD29" i="3" s="1"/>
  <c r="AC29" i="3" s="1"/>
  <c r="AA29" i="3" s="1"/>
  <c r="AF30" i="3"/>
  <c r="E29" i="1" l="1"/>
  <c r="G29" i="1" s="1"/>
  <c r="AE30" i="3"/>
  <c r="AD30" i="3" s="1"/>
  <c r="AC30" i="3" s="1"/>
  <c r="AA30" i="3" s="1"/>
  <c r="AF31" i="3"/>
  <c r="E30" i="1" l="1"/>
  <c r="G30" i="1" s="1"/>
  <c r="AE31" i="3"/>
  <c r="AD31" i="3" s="1"/>
  <c r="AC31" i="3" s="1"/>
  <c r="AA31" i="3" s="1"/>
  <c r="AF32" i="3"/>
  <c r="E31" i="1" l="1"/>
  <c r="G31" i="1" s="1"/>
  <c r="AE32" i="3"/>
  <c r="AD32" i="3" s="1"/>
  <c r="AC32" i="3" s="1"/>
  <c r="AA32" i="3" s="1"/>
  <c r="AF33" i="3"/>
  <c r="E32" i="1" l="1"/>
  <c r="G32" i="1" s="1"/>
  <c r="AE33" i="3"/>
  <c r="AD33" i="3" s="1"/>
  <c r="AC33" i="3" s="1"/>
  <c r="AA33" i="3" s="1"/>
  <c r="AF34" i="3"/>
  <c r="E33" i="1" l="1"/>
  <c r="G33" i="1" s="1"/>
  <c r="AE34" i="3"/>
  <c r="AD34" i="3" s="1"/>
  <c r="AC34" i="3" s="1"/>
  <c r="AA34" i="3" s="1"/>
  <c r="AF35" i="3"/>
  <c r="E34" i="1" l="1"/>
  <c r="G34" i="1" s="1"/>
  <c r="AE35" i="3"/>
  <c r="AD35" i="3" s="1"/>
  <c r="AC35" i="3" s="1"/>
  <c r="AA35" i="3" s="1"/>
  <c r="AF36" i="3"/>
  <c r="E35" i="1" l="1"/>
  <c r="G35" i="1" s="1"/>
  <c r="AE36" i="3"/>
  <c r="AD36" i="3" s="1"/>
  <c r="AC36" i="3" s="1"/>
  <c r="AA36" i="3" s="1"/>
  <c r="AF37" i="3"/>
  <c r="E36" i="1" l="1"/>
  <c r="G36" i="1" s="1"/>
  <c r="AE37" i="3"/>
  <c r="AD37" i="3" s="1"/>
  <c r="AC37" i="3" s="1"/>
  <c r="AA37" i="3" s="1"/>
  <c r="AF38" i="3"/>
  <c r="E37" i="1" l="1"/>
  <c r="G37" i="1" s="1"/>
  <c r="AE38" i="3"/>
  <c r="AD38" i="3" s="1"/>
  <c r="AC38" i="3" s="1"/>
  <c r="AA38" i="3" s="1"/>
  <c r="AF39" i="3"/>
  <c r="E38" i="1" l="1"/>
  <c r="G38" i="1" s="1"/>
  <c r="AE39" i="3"/>
  <c r="AD39" i="3" s="1"/>
  <c r="AC39" i="3" s="1"/>
  <c r="AA39" i="3" s="1"/>
  <c r="AF40" i="3"/>
  <c r="E39" i="1" l="1"/>
  <c r="G39" i="1" s="1"/>
  <c r="AE40" i="3"/>
  <c r="AD40" i="3" s="1"/>
  <c r="AC40" i="3" s="1"/>
  <c r="AA40" i="3" s="1"/>
  <c r="AF41" i="3"/>
  <c r="E40" i="1" l="1"/>
  <c r="G40" i="1" s="1"/>
  <c r="AE41" i="3"/>
  <c r="AD41" i="3" s="1"/>
  <c r="AC41" i="3" s="1"/>
  <c r="AA41" i="3" s="1"/>
  <c r="AF42" i="3"/>
  <c r="E41" i="1" l="1"/>
  <c r="G41" i="1" s="1"/>
  <c r="AE42" i="3"/>
  <c r="AD42" i="3" s="1"/>
  <c r="AC42" i="3" s="1"/>
  <c r="AA42" i="3" s="1"/>
  <c r="AF43" i="3"/>
  <c r="E42" i="1" l="1"/>
  <c r="G42" i="1" s="1"/>
  <c r="AE43" i="3"/>
  <c r="AD43" i="3" s="1"/>
  <c r="AC43" i="3" s="1"/>
  <c r="AA43" i="3" s="1"/>
  <c r="AF44" i="3"/>
  <c r="E43" i="1" l="1"/>
  <c r="G43" i="1" s="1"/>
  <c r="AE44" i="3"/>
  <c r="AD44" i="3" s="1"/>
  <c r="AC44" i="3" s="1"/>
  <c r="AA44" i="3" s="1"/>
  <c r="AF45" i="3"/>
  <c r="E44" i="1" l="1"/>
  <c r="G44" i="1" s="1"/>
  <c r="AE45" i="3"/>
  <c r="AD45" i="3" s="1"/>
  <c r="AC45" i="3" s="1"/>
  <c r="AA45" i="3" s="1"/>
  <c r="AF46" i="3"/>
  <c r="E45" i="1" l="1"/>
  <c r="G45" i="1" s="1"/>
  <c r="AE46" i="3"/>
  <c r="AD46" i="3" s="1"/>
  <c r="AC46" i="3" s="1"/>
  <c r="AA46" i="3" s="1"/>
  <c r="AF47" i="3"/>
  <c r="E46" i="1" l="1"/>
  <c r="G46" i="1" s="1"/>
  <c r="AE47" i="3"/>
  <c r="AD47" i="3" s="1"/>
  <c r="AC47" i="3" s="1"/>
  <c r="AA47" i="3" s="1"/>
  <c r="AF48" i="3"/>
  <c r="E47" i="1" l="1"/>
  <c r="G47" i="1" s="1"/>
  <c r="AE48" i="3"/>
  <c r="AD48" i="3" s="1"/>
  <c r="AC48" i="3" s="1"/>
  <c r="AA48" i="3" s="1"/>
  <c r="AF49" i="3"/>
  <c r="E48" i="1" l="1"/>
  <c r="G48" i="1" s="1"/>
  <c r="AE49" i="3"/>
  <c r="AD49" i="3" s="1"/>
  <c r="AC49" i="3" s="1"/>
  <c r="AA49" i="3" s="1"/>
  <c r="AF50" i="3"/>
  <c r="E49" i="1" l="1"/>
  <c r="G49" i="1" s="1"/>
  <c r="AE50" i="3"/>
  <c r="AD50" i="3" s="1"/>
  <c r="AC50" i="3" s="1"/>
  <c r="AA50" i="3" s="1"/>
  <c r="AF51" i="3"/>
  <c r="E50" i="1" l="1"/>
  <c r="G50" i="1" s="1"/>
  <c r="AE51" i="3"/>
  <c r="AD51" i="3" s="1"/>
  <c r="AC51" i="3" s="1"/>
  <c r="AA51" i="3" s="1"/>
  <c r="AF52" i="3"/>
  <c r="E51" i="1" l="1"/>
  <c r="G51" i="1" s="1"/>
  <c r="AE52" i="3"/>
  <c r="AD52" i="3" s="1"/>
  <c r="AC52" i="3" s="1"/>
  <c r="AA52" i="3" s="1"/>
  <c r="AF53" i="3"/>
  <c r="E52" i="1" l="1"/>
  <c r="G52" i="1" s="1"/>
  <c r="AE53" i="3"/>
  <c r="AD53" i="3" s="1"/>
  <c r="AC53" i="3" s="1"/>
  <c r="AA53" i="3" s="1"/>
  <c r="AF54" i="3"/>
  <c r="E53" i="1" l="1"/>
  <c r="G53" i="1" s="1"/>
  <c r="AE54" i="3"/>
  <c r="AD54" i="3" s="1"/>
  <c r="AC54" i="3" s="1"/>
  <c r="AA54" i="3" s="1"/>
  <c r="AF55" i="3"/>
  <c r="E54" i="1" l="1"/>
  <c r="G54" i="1" s="1"/>
  <c r="AE55" i="3"/>
  <c r="AD55" i="3" s="1"/>
  <c r="AC55" i="3" s="1"/>
  <c r="AA55" i="3" s="1"/>
  <c r="AF56" i="3"/>
  <c r="E55" i="1" l="1"/>
  <c r="G55" i="1" s="1"/>
  <c r="AE56" i="3"/>
  <c r="AD56" i="3" s="1"/>
  <c r="AC56" i="3" s="1"/>
  <c r="AA56" i="3" s="1"/>
  <c r="AF57" i="3"/>
  <c r="E56" i="1" l="1"/>
  <c r="G56" i="1" s="1"/>
  <c r="AE57" i="3"/>
  <c r="AD57" i="3" s="1"/>
  <c r="AC57" i="3" s="1"/>
  <c r="AA57" i="3" s="1"/>
  <c r="AF58" i="3"/>
  <c r="E57" i="1" l="1"/>
  <c r="G57" i="1" s="1"/>
  <c r="AE58" i="3"/>
  <c r="AD58" i="3" s="1"/>
  <c r="AC58" i="3" s="1"/>
  <c r="AA58" i="3" s="1"/>
  <c r="AF59" i="3"/>
  <c r="E58" i="1" l="1"/>
  <c r="G58" i="1" s="1"/>
  <c r="AE59" i="3"/>
  <c r="AD59" i="3" s="1"/>
  <c r="AC59" i="3" s="1"/>
  <c r="AA59" i="3" s="1"/>
  <c r="AF60" i="3"/>
  <c r="E59" i="1" l="1"/>
  <c r="G59" i="1" s="1"/>
  <c r="AE60" i="3"/>
  <c r="AD60" i="3" s="1"/>
  <c r="AC60" i="3" s="1"/>
  <c r="AA60" i="3" s="1"/>
  <c r="AF61" i="3"/>
  <c r="E60" i="1" l="1"/>
  <c r="G60" i="1" s="1"/>
  <c r="AE61" i="3"/>
  <c r="AD61" i="3" s="1"/>
  <c r="AC61" i="3" s="1"/>
  <c r="AA61" i="3" s="1"/>
  <c r="AF62" i="3"/>
  <c r="E61" i="1" l="1"/>
  <c r="G61" i="1" s="1"/>
  <c r="AE62" i="3"/>
  <c r="AD62" i="3" s="1"/>
  <c r="AC62" i="3" s="1"/>
  <c r="AA62" i="3" s="1"/>
  <c r="AF63" i="3"/>
  <c r="E62" i="1" l="1"/>
  <c r="G62" i="1" s="1"/>
  <c r="AE63" i="3"/>
  <c r="AD63" i="3" s="1"/>
  <c r="AC63" i="3" s="1"/>
  <c r="AA63" i="3" s="1"/>
  <c r="AF64" i="3"/>
  <c r="E63" i="1" l="1"/>
  <c r="G63" i="1" s="1"/>
  <c r="AE64" i="3"/>
  <c r="AD64" i="3" s="1"/>
  <c r="AC64" i="3" s="1"/>
  <c r="AA64" i="3" s="1"/>
  <c r="AF65" i="3"/>
  <c r="E64" i="1" l="1"/>
  <c r="G64" i="1" s="1"/>
  <c r="AE65" i="3"/>
  <c r="AD65" i="3" s="1"/>
  <c r="AC65" i="3" s="1"/>
  <c r="AA65" i="3" s="1"/>
  <c r="AF66" i="3"/>
  <c r="E65" i="1" l="1"/>
  <c r="G65" i="1" s="1"/>
  <c r="AE66" i="3"/>
  <c r="AD66" i="3" s="1"/>
  <c r="AC66" i="3" s="1"/>
  <c r="AA66" i="3" s="1"/>
  <c r="AF67" i="3"/>
  <c r="E66" i="1" l="1"/>
  <c r="G66" i="1" s="1"/>
  <c r="AE67" i="3"/>
  <c r="AD67" i="3" s="1"/>
  <c r="AC67" i="3" s="1"/>
  <c r="AA67" i="3" s="1"/>
  <c r="AF68" i="3"/>
  <c r="E67" i="1" l="1"/>
  <c r="G67" i="1" s="1"/>
  <c r="AE68" i="3"/>
  <c r="AD68" i="3" s="1"/>
  <c r="AC68" i="3" s="1"/>
  <c r="AA68" i="3" s="1"/>
  <c r="AF69" i="3"/>
  <c r="E68" i="1" l="1"/>
  <c r="G68" i="1" s="1"/>
  <c r="AE69" i="3"/>
  <c r="AD69" i="3" s="1"/>
  <c r="AC69" i="3" s="1"/>
  <c r="AA69" i="3" s="1"/>
  <c r="AF70" i="3"/>
  <c r="E69" i="1" l="1"/>
  <c r="G69" i="1" s="1"/>
  <c r="AE70" i="3"/>
  <c r="AD70" i="3" s="1"/>
  <c r="AC70" i="3" s="1"/>
  <c r="AA70" i="3" s="1"/>
  <c r="AF71" i="3"/>
  <c r="E70" i="1" l="1"/>
  <c r="G70" i="1" s="1"/>
  <c r="AE71" i="3"/>
  <c r="AD71" i="3" s="1"/>
  <c r="AC71" i="3" s="1"/>
  <c r="AA71" i="3" s="1"/>
  <c r="AF72" i="3"/>
  <c r="E71" i="1" l="1"/>
  <c r="G71" i="1" s="1"/>
  <c r="AE72" i="3"/>
  <c r="AD72" i="3" s="1"/>
  <c r="AC72" i="3" s="1"/>
  <c r="AA72" i="3" s="1"/>
  <c r="AF73" i="3"/>
  <c r="E72" i="1" l="1"/>
  <c r="G72" i="1" s="1"/>
  <c r="AE73" i="3"/>
  <c r="AD73" i="3" s="1"/>
  <c r="AC73" i="3" s="1"/>
  <c r="AA73" i="3" s="1"/>
  <c r="AF74" i="3"/>
  <c r="E73" i="1" l="1"/>
  <c r="G73" i="1" s="1"/>
  <c r="AE74" i="3"/>
  <c r="AD74" i="3" s="1"/>
  <c r="AC74" i="3" s="1"/>
  <c r="AA74" i="3" s="1"/>
  <c r="AF75" i="3"/>
  <c r="E74" i="1" l="1"/>
  <c r="G74" i="1" s="1"/>
  <c r="AE75" i="3"/>
  <c r="AD75" i="3" s="1"/>
  <c r="AC75" i="3" s="1"/>
  <c r="AA75" i="3" s="1"/>
  <c r="AF76" i="3"/>
  <c r="E75" i="1" l="1"/>
  <c r="G75" i="1" s="1"/>
  <c r="AE76" i="3"/>
  <c r="AD76" i="3" s="1"/>
  <c r="AC76" i="3" s="1"/>
  <c r="AA76" i="3" s="1"/>
  <c r="AF77" i="3"/>
  <c r="E76" i="1" l="1"/>
  <c r="G76" i="1" s="1"/>
  <c r="AE77" i="3"/>
  <c r="AD77" i="3" s="1"/>
  <c r="AC77" i="3" s="1"/>
  <c r="AA77" i="3" s="1"/>
  <c r="AF78" i="3"/>
  <c r="E77" i="1" l="1"/>
  <c r="G77" i="1" s="1"/>
  <c r="AE78" i="3"/>
  <c r="AD78" i="3" s="1"/>
  <c r="AC78" i="3" s="1"/>
  <c r="AA78" i="3" s="1"/>
  <c r="AF79" i="3"/>
  <c r="E78" i="1" l="1"/>
  <c r="G78" i="1" s="1"/>
  <c r="AE79" i="3"/>
  <c r="AD79" i="3" s="1"/>
  <c r="AC79" i="3" s="1"/>
  <c r="AA79" i="3" s="1"/>
  <c r="AF80" i="3"/>
  <c r="E79" i="1" l="1"/>
  <c r="G79" i="1" s="1"/>
  <c r="AE80" i="3"/>
  <c r="AD80" i="3" s="1"/>
  <c r="AC80" i="3" s="1"/>
  <c r="AA80" i="3" s="1"/>
  <c r="AF81" i="3"/>
  <c r="E80" i="1" l="1"/>
  <c r="G80" i="1" s="1"/>
  <c r="AE81" i="3"/>
  <c r="AD81" i="3" s="1"/>
  <c r="AC81" i="3" s="1"/>
  <c r="AA81" i="3" s="1"/>
  <c r="AF82" i="3"/>
  <c r="E81" i="1" l="1"/>
  <c r="G81" i="1" s="1"/>
  <c r="AE82" i="3"/>
  <c r="AD82" i="3" s="1"/>
  <c r="AC82" i="3" s="1"/>
  <c r="AA82" i="3" s="1"/>
  <c r="AF83" i="3"/>
  <c r="E82" i="1" l="1"/>
  <c r="G82" i="1" s="1"/>
  <c r="AE83" i="3"/>
  <c r="AD83" i="3" s="1"/>
  <c r="AC83" i="3" s="1"/>
  <c r="AA83" i="3" s="1"/>
  <c r="AF84" i="3"/>
  <c r="E83" i="1" l="1"/>
  <c r="G83" i="1" s="1"/>
  <c r="AE84" i="3"/>
  <c r="AD84" i="3" s="1"/>
  <c r="AC84" i="3" s="1"/>
  <c r="AA84" i="3" s="1"/>
  <c r="AF85" i="3"/>
  <c r="E84" i="1" l="1"/>
  <c r="G84" i="1" s="1"/>
  <c r="AE85" i="3"/>
  <c r="AD85" i="3" s="1"/>
  <c r="AC85" i="3" s="1"/>
  <c r="AA85" i="3" s="1"/>
  <c r="AF86" i="3"/>
  <c r="E85" i="1" l="1"/>
  <c r="G85" i="1" s="1"/>
  <c r="AE86" i="3"/>
  <c r="AD86" i="3" s="1"/>
  <c r="AC86" i="3" s="1"/>
  <c r="AA86" i="3" s="1"/>
  <c r="AF87" i="3"/>
  <c r="E86" i="1" l="1"/>
  <c r="G86" i="1" s="1"/>
  <c r="AE87" i="3"/>
  <c r="AD87" i="3" s="1"/>
  <c r="AC87" i="3" s="1"/>
  <c r="AA87" i="3" s="1"/>
  <c r="AF88" i="3"/>
  <c r="E87" i="1" l="1"/>
  <c r="G87" i="1" s="1"/>
  <c r="AE88" i="3"/>
  <c r="AD88" i="3" s="1"/>
  <c r="AC88" i="3" s="1"/>
  <c r="AA88" i="3" s="1"/>
  <c r="AF89" i="3"/>
  <c r="E88" i="1" l="1"/>
  <c r="G88" i="1" s="1"/>
  <c r="AE89" i="3"/>
  <c r="AD89" i="3" s="1"/>
  <c r="AC89" i="3" s="1"/>
  <c r="AA89" i="3" s="1"/>
  <c r="AF90" i="3"/>
  <c r="E89" i="1" l="1"/>
  <c r="G89" i="1" s="1"/>
  <c r="AE90" i="3"/>
  <c r="AD90" i="3" s="1"/>
  <c r="AC90" i="3" s="1"/>
  <c r="AA90" i="3" s="1"/>
  <c r="AF91" i="3"/>
  <c r="E90" i="1" l="1"/>
  <c r="G90" i="1" s="1"/>
  <c r="AE91" i="3"/>
  <c r="AD91" i="3" s="1"/>
  <c r="AC91" i="3" s="1"/>
  <c r="AA91" i="3" s="1"/>
  <c r="AF92" i="3"/>
  <c r="E91" i="1" l="1"/>
  <c r="G91" i="1" s="1"/>
  <c r="AE92" i="3"/>
  <c r="AD92" i="3" s="1"/>
  <c r="AC92" i="3" s="1"/>
  <c r="AA92" i="3" s="1"/>
  <c r="AF93" i="3"/>
  <c r="E92" i="1" l="1"/>
  <c r="G92" i="1" s="1"/>
  <c r="AE93" i="3"/>
  <c r="AD93" i="3" s="1"/>
  <c r="AC93" i="3" s="1"/>
  <c r="AA93" i="3" s="1"/>
  <c r="AF94" i="3"/>
  <c r="E93" i="1" l="1"/>
  <c r="G93" i="1" s="1"/>
  <c r="AE94" i="3"/>
  <c r="AD94" i="3" s="1"/>
  <c r="AC94" i="3" s="1"/>
  <c r="AA94" i="3" s="1"/>
  <c r="AF95" i="3"/>
  <c r="E94" i="1" l="1"/>
  <c r="G94" i="1" s="1"/>
  <c r="AE95" i="3"/>
  <c r="AD95" i="3" s="1"/>
  <c r="AC95" i="3" s="1"/>
  <c r="AA95" i="3" s="1"/>
  <c r="AF96" i="3"/>
  <c r="E95" i="1" l="1"/>
  <c r="G95" i="1" s="1"/>
  <c r="AE96" i="3"/>
  <c r="AD96" i="3" s="1"/>
  <c r="AC96" i="3" s="1"/>
  <c r="AA96" i="3" s="1"/>
  <c r="AF97" i="3"/>
  <c r="E96" i="1" l="1"/>
  <c r="G96" i="1" s="1"/>
  <c r="AE97" i="3"/>
  <c r="AD97" i="3" s="1"/>
  <c r="AC97" i="3" s="1"/>
  <c r="AA97" i="3" s="1"/>
  <c r="AF98" i="3"/>
  <c r="E97" i="1" l="1"/>
  <c r="G97" i="1" s="1"/>
  <c r="AE98" i="3"/>
  <c r="AD98" i="3" s="1"/>
  <c r="AC98" i="3" s="1"/>
  <c r="AA98" i="3" s="1"/>
  <c r="AF99" i="3"/>
  <c r="E98" i="1" l="1"/>
  <c r="G98" i="1" s="1"/>
  <c r="AF100" i="3"/>
  <c r="AE99" i="3"/>
  <c r="AD99" i="3" s="1"/>
  <c r="AC99" i="3" s="1"/>
  <c r="AA99" i="3" s="1"/>
  <c r="E99" i="1" l="1"/>
  <c r="G99" i="1" s="1"/>
  <c r="AF101" i="3"/>
  <c r="AE100" i="3"/>
  <c r="AD100" i="3" s="1"/>
  <c r="AC100" i="3" s="1"/>
  <c r="AA100" i="3" s="1"/>
  <c r="E100" i="1" l="1"/>
  <c r="G100" i="1" s="1"/>
  <c r="AF102" i="3"/>
  <c r="AE101" i="3"/>
  <c r="AD101" i="3" s="1"/>
  <c r="AC101" i="3" s="1"/>
  <c r="AA101" i="3" s="1"/>
  <c r="E101" i="1" l="1"/>
  <c r="G101" i="1" s="1"/>
  <c r="AE102" i="3"/>
  <c r="AD102" i="3" s="1"/>
  <c r="AC102" i="3" s="1"/>
  <c r="AA102" i="3" s="1"/>
  <c r="AF103" i="3"/>
  <c r="E102" i="1" l="1"/>
  <c r="G102" i="1" s="1"/>
  <c r="AE103" i="3"/>
  <c r="AD103" i="3" s="1"/>
  <c r="AC103" i="3" s="1"/>
  <c r="AA103" i="3" s="1"/>
  <c r="AF104" i="3"/>
  <c r="E103" i="1" l="1"/>
  <c r="G103" i="1" s="1"/>
  <c r="AE104" i="3"/>
  <c r="AD104" i="3" s="1"/>
  <c r="AC104" i="3" s="1"/>
  <c r="AA104" i="3" s="1"/>
  <c r="AF105" i="3"/>
  <c r="E104" i="1" l="1"/>
  <c r="G104" i="1" s="1"/>
  <c r="AE105" i="3"/>
  <c r="AD105" i="3" s="1"/>
  <c r="AC105" i="3" s="1"/>
  <c r="AA105" i="3" s="1"/>
  <c r="AF106" i="3"/>
  <c r="E105" i="1" l="1"/>
  <c r="G105" i="1" s="1"/>
  <c r="AE106" i="3"/>
  <c r="AD106" i="3" s="1"/>
  <c r="AC106" i="3" s="1"/>
  <c r="AA106" i="3" s="1"/>
  <c r="AF107" i="3"/>
  <c r="E106" i="1" l="1"/>
  <c r="G106" i="1" s="1"/>
  <c r="AE107" i="3"/>
  <c r="AD107" i="3" s="1"/>
  <c r="AC107" i="3" s="1"/>
  <c r="AA107" i="3" s="1"/>
  <c r="AF108" i="3"/>
  <c r="E107" i="1" l="1"/>
  <c r="G107" i="1" s="1"/>
  <c r="AE108" i="3"/>
  <c r="AD108" i="3" s="1"/>
  <c r="AC108" i="3" s="1"/>
  <c r="AA108" i="3" s="1"/>
  <c r="AF109" i="3"/>
  <c r="E108" i="1" l="1"/>
  <c r="G108" i="1" s="1"/>
  <c r="AE109" i="3"/>
  <c r="AD109" i="3" s="1"/>
  <c r="AC109" i="3" s="1"/>
  <c r="AA109" i="3" s="1"/>
  <c r="AF110" i="3"/>
  <c r="E109" i="1" l="1"/>
  <c r="G109" i="1" s="1"/>
  <c r="AE110" i="3"/>
  <c r="AD110" i="3" s="1"/>
  <c r="AC110" i="3" s="1"/>
  <c r="AA110" i="3" s="1"/>
  <c r="AF111" i="3"/>
  <c r="E110" i="1" l="1"/>
  <c r="G110" i="1" s="1"/>
  <c r="AE111" i="3"/>
  <c r="AD111" i="3" s="1"/>
  <c r="AC111" i="3" s="1"/>
  <c r="AA111" i="3" s="1"/>
  <c r="AF112" i="3"/>
  <c r="E111" i="1" l="1"/>
  <c r="G111" i="1" s="1"/>
  <c r="AE112" i="3"/>
  <c r="AD112" i="3" s="1"/>
  <c r="AC112" i="3" s="1"/>
  <c r="AA112" i="3" s="1"/>
  <c r="AF113" i="3"/>
  <c r="E112" i="1" l="1"/>
  <c r="G112" i="1" s="1"/>
  <c r="AE113" i="3"/>
  <c r="AD113" i="3" s="1"/>
  <c r="AC113" i="3" s="1"/>
  <c r="AA113" i="3" s="1"/>
  <c r="AF114" i="3"/>
  <c r="E113" i="1" l="1"/>
  <c r="G113" i="1" s="1"/>
  <c r="AE114" i="3"/>
  <c r="AD114" i="3" s="1"/>
  <c r="AC114" i="3" s="1"/>
  <c r="AA114" i="3" s="1"/>
  <c r="AF115" i="3"/>
  <c r="E114" i="1" l="1"/>
  <c r="G114" i="1" s="1"/>
  <c r="AE115" i="3"/>
  <c r="AD115" i="3" s="1"/>
  <c r="AC115" i="3" s="1"/>
  <c r="AA115" i="3" s="1"/>
  <c r="AF116" i="3"/>
  <c r="E115" i="1" l="1"/>
  <c r="G115" i="1" s="1"/>
  <c r="AE116" i="3"/>
  <c r="AD116" i="3" s="1"/>
  <c r="AC116" i="3" s="1"/>
  <c r="AA116" i="3" s="1"/>
  <c r="AF117" i="3"/>
  <c r="E116" i="1" l="1"/>
  <c r="G116" i="1" s="1"/>
  <c r="AE117" i="3"/>
  <c r="AD117" i="3" s="1"/>
  <c r="AC117" i="3" s="1"/>
  <c r="AA117" i="3" s="1"/>
  <c r="AF118" i="3"/>
  <c r="E117" i="1" l="1"/>
  <c r="G117" i="1" s="1"/>
  <c r="AE118" i="3"/>
  <c r="AD118" i="3" s="1"/>
  <c r="AC118" i="3" s="1"/>
  <c r="AA118" i="3" s="1"/>
  <c r="AF119" i="3"/>
  <c r="E118" i="1" l="1"/>
  <c r="G118" i="1" s="1"/>
  <c r="AE119" i="3"/>
  <c r="AD119" i="3" s="1"/>
  <c r="AC119" i="3" s="1"/>
  <c r="AA119" i="3" s="1"/>
  <c r="AF120" i="3"/>
  <c r="E119" i="1" l="1"/>
  <c r="G119" i="1" s="1"/>
  <c r="AE120" i="3"/>
  <c r="AD120" i="3" s="1"/>
  <c r="AC120" i="3" s="1"/>
  <c r="AA120" i="3" s="1"/>
  <c r="AF121" i="3"/>
  <c r="E120" i="1" l="1"/>
  <c r="G120" i="1" s="1"/>
  <c r="AE121" i="3"/>
  <c r="AD121" i="3" s="1"/>
  <c r="AC121" i="3" s="1"/>
  <c r="AA121" i="3" s="1"/>
  <c r="AF122" i="3"/>
  <c r="E121" i="1" l="1"/>
  <c r="G121" i="1" s="1"/>
  <c r="AE122" i="3"/>
  <c r="AD122" i="3" s="1"/>
  <c r="AC122" i="3" s="1"/>
  <c r="AA122" i="3" s="1"/>
  <c r="AF123" i="3"/>
  <c r="E122" i="1" l="1"/>
  <c r="G122" i="1" s="1"/>
  <c r="AE123" i="3"/>
  <c r="AD123" i="3" s="1"/>
  <c r="AC123" i="3" s="1"/>
  <c r="AA123" i="3" s="1"/>
  <c r="AF124" i="3"/>
  <c r="E123" i="1" l="1"/>
  <c r="G123" i="1" s="1"/>
  <c r="AE124" i="3"/>
  <c r="AD124" i="3" s="1"/>
  <c r="AC124" i="3" s="1"/>
  <c r="AA124" i="3" s="1"/>
  <c r="AF125" i="3"/>
  <c r="E124" i="1" l="1"/>
  <c r="G124" i="1" s="1"/>
  <c r="AE125" i="3"/>
  <c r="AD125" i="3" s="1"/>
  <c r="AC125" i="3" s="1"/>
  <c r="AA125" i="3" s="1"/>
  <c r="AF126" i="3"/>
  <c r="E125" i="1" l="1"/>
  <c r="G125" i="1" s="1"/>
  <c r="AE126" i="3"/>
  <c r="AD126" i="3" s="1"/>
  <c r="AC126" i="3" s="1"/>
  <c r="AA126" i="3" s="1"/>
  <c r="AF127" i="3"/>
  <c r="E126" i="1" l="1"/>
  <c r="G126" i="1" s="1"/>
  <c r="AE127" i="3"/>
  <c r="AD127" i="3" s="1"/>
  <c r="AC127" i="3" s="1"/>
  <c r="AA127" i="3" s="1"/>
  <c r="AF128" i="3"/>
  <c r="E127" i="1" l="1"/>
  <c r="G127" i="1" s="1"/>
  <c r="AE128" i="3"/>
  <c r="AD128" i="3" s="1"/>
  <c r="AC128" i="3" s="1"/>
  <c r="AA128" i="3" s="1"/>
  <c r="AF129" i="3"/>
  <c r="E128" i="1" l="1"/>
  <c r="G128" i="1" s="1"/>
  <c r="AE129" i="3"/>
  <c r="AD129" i="3" s="1"/>
  <c r="AC129" i="3" s="1"/>
  <c r="AA129" i="3" s="1"/>
  <c r="AF130" i="3"/>
  <c r="E129" i="1" l="1"/>
  <c r="G129" i="1" s="1"/>
  <c r="AE130" i="3"/>
  <c r="AD130" i="3" s="1"/>
  <c r="AC130" i="3" s="1"/>
  <c r="AA130" i="3" s="1"/>
  <c r="AF131" i="3"/>
  <c r="E130" i="1" l="1"/>
  <c r="G130" i="1" s="1"/>
  <c r="AE131" i="3"/>
  <c r="AD131" i="3" s="1"/>
  <c r="AC131" i="3" s="1"/>
  <c r="AA131" i="3" s="1"/>
  <c r="AF132" i="3"/>
  <c r="E131" i="1" l="1"/>
  <c r="G131" i="1" s="1"/>
  <c r="AE132" i="3"/>
  <c r="AD132" i="3" s="1"/>
  <c r="AC132" i="3" s="1"/>
  <c r="AA132" i="3" s="1"/>
  <c r="AF133" i="3"/>
  <c r="E132" i="1" l="1"/>
  <c r="G132" i="1" s="1"/>
  <c r="AE133" i="3"/>
  <c r="AD133" i="3" s="1"/>
  <c r="AC133" i="3" s="1"/>
  <c r="AA133" i="3" s="1"/>
  <c r="AF134" i="3"/>
  <c r="E133" i="1" l="1"/>
  <c r="G133" i="1" s="1"/>
  <c r="AE134" i="3"/>
  <c r="AD134" i="3" s="1"/>
  <c r="AC134" i="3" s="1"/>
  <c r="AA134" i="3" s="1"/>
  <c r="AF135" i="3"/>
  <c r="E134" i="1" l="1"/>
  <c r="G134" i="1" s="1"/>
  <c r="AE135" i="3"/>
  <c r="AD135" i="3" s="1"/>
  <c r="AC135" i="3" s="1"/>
  <c r="AA135" i="3" s="1"/>
  <c r="AF136" i="3"/>
  <c r="E135" i="1" l="1"/>
  <c r="G135" i="1" s="1"/>
  <c r="AE136" i="3"/>
  <c r="AD136" i="3" s="1"/>
  <c r="AC136" i="3" s="1"/>
  <c r="AA136" i="3" s="1"/>
  <c r="AF137" i="3"/>
  <c r="E136" i="1" l="1"/>
  <c r="G136" i="1" s="1"/>
  <c r="AE137" i="3"/>
  <c r="AD137" i="3" s="1"/>
  <c r="AC137" i="3" s="1"/>
  <c r="AA137" i="3" s="1"/>
  <c r="AF138" i="3"/>
  <c r="E137" i="1" l="1"/>
  <c r="G137" i="1" s="1"/>
  <c r="AE138" i="3"/>
  <c r="AD138" i="3" s="1"/>
  <c r="AC138" i="3" s="1"/>
  <c r="AA138" i="3" s="1"/>
  <c r="AF139" i="3"/>
  <c r="E138" i="1" l="1"/>
  <c r="G138" i="1" s="1"/>
  <c r="AE139" i="3"/>
  <c r="AD139" i="3" s="1"/>
  <c r="AC139" i="3" s="1"/>
  <c r="AA139" i="3" s="1"/>
  <c r="AF140" i="3"/>
  <c r="E139" i="1" l="1"/>
  <c r="G139" i="1" s="1"/>
  <c r="AE140" i="3"/>
  <c r="AD140" i="3" s="1"/>
  <c r="AC140" i="3" s="1"/>
  <c r="AA140" i="3" s="1"/>
  <c r="AF141" i="3"/>
  <c r="E140" i="1" l="1"/>
  <c r="G140" i="1" s="1"/>
  <c r="AE141" i="3"/>
  <c r="AD141" i="3" s="1"/>
  <c r="AC141" i="3" s="1"/>
  <c r="AA141" i="3" s="1"/>
  <c r="AF142" i="3"/>
  <c r="E141" i="1" l="1"/>
  <c r="G141" i="1" s="1"/>
  <c r="AE142" i="3"/>
  <c r="AD142" i="3" s="1"/>
  <c r="AC142" i="3" s="1"/>
  <c r="AA142" i="3" s="1"/>
  <c r="AF143" i="3"/>
  <c r="E142" i="1" l="1"/>
  <c r="G142" i="1" s="1"/>
  <c r="AE143" i="3"/>
  <c r="AD143" i="3" s="1"/>
  <c r="AC143" i="3" s="1"/>
  <c r="AA143" i="3" s="1"/>
  <c r="AF144" i="3"/>
  <c r="E143" i="1" l="1"/>
  <c r="G143" i="1" s="1"/>
  <c r="AE144" i="3"/>
  <c r="AD144" i="3" s="1"/>
  <c r="AC144" i="3" s="1"/>
  <c r="AA144" i="3" s="1"/>
  <c r="AF145" i="3"/>
  <c r="E144" i="1" l="1"/>
  <c r="G144" i="1" s="1"/>
  <c r="AE145" i="3"/>
  <c r="AD145" i="3" s="1"/>
  <c r="AC145" i="3" s="1"/>
  <c r="AA145" i="3" s="1"/>
  <c r="AF146" i="3"/>
  <c r="E145" i="1" l="1"/>
  <c r="G145" i="1" s="1"/>
  <c r="AE146" i="3"/>
  <c r="AD146" i="3" s="1"/>
  <c r="AC146" i="3" s="1"/>
  <c r="AA146" i="3" s="1"/>
  <c r="AF147" i="3"/>
  <c r="E146" i="1" l="1"/>
  <c r="G146" i="1" s="1"/>
  <c r="AE147" i="3"/>
  <c r="AD147" i="3" s="1"/>
  <c r="AC147" i="3" s="1"/>
  <c r="AA147" i="3" s="1"/>
  <c r="AF148" i="3"/>
  <c r="E147" i="1" l="1"/>
  <c r="G147" i="1" s="1"/>
  <c r="AE148" i="3"/>
  <c r="AD148" i="3" s="1"/>
  <c r="AC148" i="3" s="1"/>
  <c r="AA148" i="3" s="1"/>
  <c r="AF149" i="3"/>
  <c r="E148" i="1" l="1"/>
  <c r="G148" i="1" s="1"/>
  <c r="AE149" i="3"/>
  <c r="AD149" i="3" s="1"/>
  <c r="AC149" i="3" s="1"/>
  <c r="AA149" i="3" s="1"/>
  <c r="AF150" i="3"/>
  <c r="E149" i="1" l="1"/>
  <c r="G149" i="1" s="1"/>
  <c r="AE150" i="3"/>
  <c r="AD150" i="3" s="1"/>
  <c r="AC150" i="3" s="1"/>
  <c r="AA150" i="3" s="1"/>
  <c r="AF151" i="3"/>
  <c r="E150" i="1" l="1"/>
  <c r="G150" i="1" s="1"/>
  <c r="AE151" i="3"/>
  <c r="AD151" i="3" s="1"/>
  <c r="AC151" i="3" s="1"/>
  <c r="AA151" i="3" s="1"/>
  <c r="AF152" i="3"/>
  <c r="E151" i="1" l="1"/>
  <c r="G151" i="1" s="1"/>
  <c r="AE152" i="3"/>
  <c r="AD152" i="3" s="1"/>
  <c r="AC152" i="3" s="1"/>
  <c r="AA152" i="3" s="1"/>
  <c r="AF153" i="3"/>
  <c r="E152" i="1" l="1"/>
  <c r="G152" i="1" s="1"/>
  <c r="AE153" i="3"/>
  <c r="AD153" i="3" s="1"/>
  <c r="AC153" i="3" s="1"/>
  <c r="AA153" i="3" s="1"/>
  <c r="AF154" i="3"/>
  <c r="E153" i="1" l="1"/>
  <c r="G153" i="1" s="1"/>
  <c r="AE154" i="3"/>
  <c r="AD154" i="3" s="1"/>
  <c r="AC154" i="3" s="1"/>
  <c r="AA154" i="3" s="1"/>
  <c r="AF155" i="3"/>
  <c r="E154" i="1" l="1"/>
  <c r="G154" i="1" s="1"/>
  <c r="AE155" i="3"/>
  <c r="AD155" i="3" s="1"/>
  <c r="AC155" i="3" s="1"/>
  <c r="AA155" i="3" s="1"/>
  <c r="AF156" i="3"/>
  <c r="E155" i="1" l="1"/>
  <c r="G155" i="1" s="1"/>
  <c r="AE156" i="3"/>
  <c r="AD156" i="3" s="1"/>
  <c r="AC156" i="3" s="1"/>
  <c r="AA156" i="3" s="1"/>
  <c r="AF157" i="3"/>
  <c r="E156" i="1" l="1"/>
  <c r="G156" i="1" s="1"/>
  <c r="AE157" i="3"/>
  <c r="AD157" i="3" s="1"/>
  <c r="AC157" i="3" s="1"/>
  <c r="AA157" i="3" s="1"/>
  <c r="AF158" i="3"/>
  <c r="E157" i="1" l="1"/>
  <c r="G157" i="1" s="1"/>
  <c r="AE158" i="3"/>
  <c r="AD158" i="3" s="1"/>
  <c r="AC158" i="3" s="1"/>
  <c r="AA158" i="3" s="1"/>
  <c r="AF159" i="3"/>
  <c r="E158" i="1" l="1"/>
  <c r="G158" i="1" s="1"/>
  <c r="AE159" i="3"/>
  <c r="AD159" i="3" s="1"/>
  <c r="AC159" i="3" s="1"/>
  <c r="AA159" i="3" s="1"/>
  <c r="AF160" i="3"/>
  <c r="E159" i="1" l="1"/>
  <c r="G159" i="1" s="1"/>
  <c r="AE160" i="3"/>
  <c r="AD160" i="3" s="1"/>
  <c r="AC160" i="3" s="1"/>
  <c r="AA160" i="3" s="1"/>
  <c r="AF161" i="3"/>
  <c r="E160" i="1" l="1"/>
  <c r="G160" i="1" s="1"/>
  <c r="AE161" i="3"/>
  <c r="AD161" i="3" s="1"/>
  <c r="AC161" i="3" s="1"/>
  <c r="AA161" i="3" s="1"/>
  <c r="AF162" i="3"/>
  <c r="E161" i="1" l="1"/>
  <c r="G161" i="1" s="1"/>
  <c r="AE162" i="3"/>
  <c r="AD162" i="3" s="1"/>
  <c r="AC162" i="3" s="1"/>
  <c r="AA162" i="3" s="1"/>
  <c r="AF163" i="3"/>
  <c r="E162" i="1" l="1"/>
  <c r="G162" i="1" s="1"/>
  <c r="AE163" i="3"/>
  <c r="AD163" i="3" s="1"/>
  <c r="AC163" i="3" s="1"/>
  <c r="AA163" i="3" s="1"/>
  <c r="AF164" i="3"/>
  <c r="E163" i="1" l="1"/>
  <c r="G163" i="1" s="1"/>
  <c r="AE164" i="3"/>
  <c r="AD164" i="3" s="1"/>
  <c r="AC164" i="3" s="1"/>
  <c r="AA164" i="3" s="1"/>
  <c r="AF165" i="3"/>
  <c r="E164" i="1" l="1"/>
  <c r="G164" i="1" s="1"/>
  <c r="AE165" i="3"/>
  <c r="AD165" i="3" s="1"/>
  <c r="AC165" i="3" s="1"/>
  <c r="AA165" i="3" s="1"/>
  <c r="AF166" i="3"/>
  <c r="E165" i="1" l="1"/>
  <c r="G165" i="1" s="1"/>
  <c r="AE166" i="3"/>
  <c r="AD166" i="3" s="1"/>
  <c r="AC166" i="3" s="1"/>
  <c r="AA166" i="3" s="1"/>
  <c r="AF167" i="3"/>
  <c r="E166" i="1" l="1"/>
  <c r="G166" i="1" s="1"/>
  <c r="AE167" i="3"/>
  <c r="AD167" i="3" s="1"/>
  <c r="AC167" i="3" s="1"/>
  <c r="AA167" i="3" s="1"/>
  <c r="AF168" i="3"/>
  <c r="E167" i="1" l="1"/>
  <c r="G167" i="1" s="1"/>
  <c r="AE168" i="3"/>
  <c r="AD168" i="3" s="1"/>
  <c r="AC168" i="3" s="1"/>
  <c r="AA168" i="3" s="1"/>
  <c r="AF169" i="3"/>
  <c r="E168" i="1" l="1"/>
  <c r="G168" i="1" s="1"/>
  <c r="AE169" i="3"/>
  <c r="AD169" i="3" s="1"/>
  <c r="AC169" i="3" s="1"/>
  <c r="AA169" i="3" s="1"/>
  <c r="AF170" i="3"/>
  <c r="E169" i="1" l="1"/>
  <c r="G169" i="1" s="1"/>
  <c r="AE170" i="3"/>
  <c r="AD170" i="3" s="1"/>
  <c r="AC170" i="3" s="1"/>
  <c r="AA170" i="3" s="1"/>
  <c r="AF171" i="3"/>
  <c r="AE171" i="3" s="1"/>
  <c r="AD171" i="3" s="1"/>
  <c r="AC171" i="3" s="1"/>
  <c r="AA171" i="3" s="1"/>
  <c r="E170" i="1" l="1"/>
  <c r="G170" i="1" s="1"/>
  <c r="E171" i="1" l="1"/>
  <c r="G171" i="1" s="1"/>
  <c r="E172" i="1" l="1"/>
  <c r="G172" i="1" s="1"/>
  <c r="E173" i="1" l="1"/>
  <c r="G173" i="1" s="1"/>
  <c r="E174" i="1" l="1"/>
  <c r="G174" i="1" s="1"/>
  <c r="E175" i="1" l="1"/>
  <c r="G175" i="1" s="1"/>
  <c r="E176" i="1" l="1"/>
  <c r="G176" i="1" s="1"/>
  <c r="E177" i="1" l="1"/>
  <c r="G177" i="1" s="1"/>
  <c r="E178" i="1" l="1"/>
  <c r="G178" i="1" s="1"/>
  <c r="E179" i="1" l="1"/>
  <c r="G179" i="1" s="1"/>
  <c r="E180" i="1" l="1"/>
  <c r="G180" i="1" s="1"/>
  <c r="E181" i="1" l="1"/>
  <c r="G181" i="1" s="1"/>
  <c r="E182" i="1" l="1"/>
  <c r="G182" i="1" s="1"/>
  <c r="E183" i="1" l="1"/>
  <c r="G183" i="1" s="1"/>
  <c r="E184" i="1" l="1"/>
  <c r="G184" i="1" s="1"/>
  <c r="E185" i="1" l="1"/>
  <c r="G185" i="1" s="1"/>
  <c r="E186" i="1" l="1"/>
  <c r="G186" i="1" s="1"/>
  <c r="E187" i="1" l="1"/>
  <c r="G187" i="1" s="1"/>
  <c r="E188" i="1" l="1"/>
  <c r="G188" i="1" s="1"/>
  <c r="E189" i="1" l="1"/>
  <c r="G189" i="1" s="1"/>
  <c r="E190" i="1" l="1"/>
  <c r="G190" i="1" s="1"/>
  <c r="E191" i="1" l="1"/>
  <c r="G191" i="1" s="1"/>
  <c r="E192" i="1" l="1"/>
  <c r="G192" i="1" s="1"/>
  <c r="E193" i="1" l="1"/>
  <c r="G193" i="1" s="1"/>
  <c r="E194" i="1" l="1"/>
  <c r="G194" i="1" s="1"/>
  <c r="E195" i="1" l="1"/>
  <c r="G195" i="1" s="1"/>
  <c r="E196" i="1" l="1"/>
  <c r="G196" i="1" s="1"/>
  <c r="E197" i="1" l="1"/>
  <c r="G197" i="1" s="1"/>
  <c r="E198" i="1" l="1"/>
  <c r="G198" i="1" s="1"/>
  <c r="E199" i="1" l="1"/>
  <c r="G199" i="1" s="1"/>
  <c r="E200" i="1" l="1"/>
  <c r="G200" i="1" s="1"/>
  <c r="E201" i="1" l="1"/>
  <c r="G201" i="1" s="1"/>
  <c r="E202" i="1" l="1"/>
  <c r="G202" i="1" s="1"/>
  <c r="E203" i="1" l="1"/>
  <c r="G203" i="1" s="1"/>
  <c r="E204" i="1" l="1"/>
  <c r="G204" i="1" s="1"/>
  <c r="E205" i="1" l="1"/>
  <c r="G205" i="1" s="1"/>
  <c r="E206" i="1" l="1"/>
  <c r="G206" i="1" s="1"/>
  <c r="E207" i="1" l="1"/>
  <c r="G207" i="1" s="1"/>
  <c r="E208" i="1" l="1"/>
  <c r="G208" i="1" s="1"/>
  <c r="E209" i="1" l="1"/>
  <c r="G209" i="1" s="1"/>
  <c r="E210" i="1" l="1"/>
  <c r="G210" i="1" s="1"/>
  <c r="E211" i="1" l="1"/>
  <c r="G211" i="1" s="1"/>
  <c r="E212" i="1" l="1"/>
  <c r="G212" i="1" s="1"/>
  <c r="E213" i="1" l="1"/>
  <c r="G213" i="1" s="1"/>
  <c r="E214" i="1" l="1"/>
  <c r="G214" i="1" s="1"/>
  <c r="E215" i="1" l="1"/>
  <c r="G215" i="1" s="1"/>
  <c r="E216" i="1" l="1"/>
  <c r="G216" i="1" s="1"/>
  <c r="E217" i="1" l="1"/>
  <c r="G217" i="1" s="1"/>
  <c r="E218" i="1" l="1"/>
  <c r="G218" i="1" s="1"/>
  <c r="E219" i="1" l="1"/>
  <c r="G219" i="1" s="1"/>
  <c r="E220" i="1" l="1"/>
  <c r="G220" i="1" s="1"/>
  <c r="E221" i="1" l="1"/>
  <c r="G221" i="1" s="1"/>
  <c r="E222" i="1" l="1"/>
  <c r="G222" i="1" s="1"/>
  <c r="E223" i="1" l="1"/>
  <c r="G223" i="1" s="1"/>
  <c r="E224" i="1" l="1"/>
  <c r="G224" i="1" s="1"/>
  <c r="E225" i="1" l="1"/>
  <c r="G225" i="1" s="1"/>
  <c r="E226" i="1" l="1"/>
  <c r="G226" i="1" s="1"/>
  <c r="E227" i="1" l="1"/>
  <c r="G227" i="1" s="1"/>
  <c r="E228" i="1" l="1"/>
  <c r="G228" i="1" s="1"/>
  <c r="E229" i="1" l="1"/>
  <c r="G229" i="1" s="1"/>
  <c r="E230" i="1" l="1"/>
  <c r="G230" i="1" s="1"/>
  <c r="E231" i="1" l="1"/>
  <c r="G231" i="1" s="1"/>
  <c r="E232" i="1" l="1"/>
  <c r="G232" i="1" s="1"/>
  <c r="E233" i="1" l="1"/>
  <c r="G233" i="1" s="1"/>
  <c r="E234" i="1" l="1"/>
  <c r="G234" i="1" s="1"/>
  <c r="E235" i="1" l="1"/>
  <c r="G235" i="1" s="1"/>
  <c r="E236" i="1" l="1"/>
  <c r="G236" i="1" s="1"/>
  <c r="E237" i="1" l="1"/>
  <c r="G237" i="1" s="1"/>
  <c r="E238" i="1" l="1"/>
  <c r="G238" i="1" s="1"/>
  <c r="E239" i="1" l="1"/>
  <c r="G239" i="1" s="1"/>
  <c r="E240" i="1" l="1"/>
  <c r="G240" i="1" s="1"/>
  <c r="E241" i="1" l="1"/>
  <c r="G241" i="1" s="1"/>
  <c r="E242" i="1" l="1"/>
  <c r="G242" i="1" s="1"/>
  <c r="E243" i="1" l="1"/>
  <c r="G243" i="1" s="1"/>
  <c r="E244" i="1" l="1"/>
  <c r="G244" i="1" s="1"/>
  <c r="E245" i="1" l="1"/>
  <c r="G245" i="1" s="1"/>
  <c r="E246" i="1" l="1"/>
  <c r="G246" i="1" s="1"/>
  <c r="E247" i="1" l="1"/>
  <c r="G247" i="1" s="1"/>
  <c r="E248" i="1" l="1"/>
  <c r="G248" i="1" s="1"/>
  <c r="E249" i="1" l="1"/>
  <c r="G249" i="1" s="1"/>
  <c r="E250" i="1" l="1"/>
  <c r="G250" i="1" s="1"/>
  <c r="E251" i="1" l="1"/>
  <c r="G251" i="1" s="1"/>
  <c r="E252" i="1" l="1"/>
  <c r="G252" i="1" s="1"/>
  <c r="E253" i="1" l="1"/>
  <c r="G253" i="1" s="1"/>
  <c r="E254" i="1" l="1"/>
  <c r="G254" i="1" s="1"/>
  <c r="E255" i="1" l="1"/>
  <c r="G255" i="1" s="1"/>
  <c r="E256" i="1" l="1"/>
  <c r="G256" i="1" s="1"/>
  <c r="E257" i="1" l="1"/>
  <c r="G257" i="1" s="1"/>
  <c r="E258" i="1" l="1"/>
  <c r="G258" i="1" s="1"/>
  <c r="E259" i="1" l="1"/>
  <c r="G259" i="1" s="1"/>
  <c r="E260" i="1" l="1"/>
  <c r="G260" i="1" s="1"/>
  <c r="E261" i="1" l="1"/>
  <c r="G261" i="1" s="1"/>
  <c r="E262" i="1" l="1"/>
  <c r="G262" i="1" s="1"/>
  <c r="E263" i="1" l="1"/>
  <c r="G263" i="1" s="1"/>
  <c r="E264" i="1" l="1"/>
  <c r="G264" i="1" s="1"/>
  <c r="E265" i="1" l="1"/>
  <c r="G265" i="1" s="1"/>
  <c r="E266" i="1" l="1"/>
  <c r="G266" i="1" s="1"/>
  <c r="E267" i="1" l="1"/>
  <c r="G267" i="1" s="1"/>
  <c r="E268" i="1" l="1"/>
  <c r="G268" i="1" s="1"/>
  <c r="E269" i="1" l="1"/>
  <c r="G269" i="1" s="1"/>
  <c r="E270" i="1" l="1"/>
  <c r="G270" i="1" s="1"/>
  <c r="E271" i="1" l="1"/>
  <c r="G271" i="1" s="1"/>
  <c r="E272" i="1" l="1"/>
  <c r="G272" i="1" s="1"/>
  <c r="E273" i="1" l="1"/>
  <c r="G273" i="1" s="1"/>
  <c r="E274" i="1" l="1"/>
  <c r="G274" i="1" s="1"/>
  <c r="E275" i="1" l="1"/>
  <c r="G275" i="1" s="1"/>
  <c r="E276" i="1" l="1"/>
  <c r="G276" i="1" s="1"/>
  <c r="E277" i="1" l="1"/>
  <c r="G277" i="1" s="1"/>
  <c r="E278" i="1" l="1"/>
  <c r="G278" i="1" s="1"/>
  <c r="E279" i="1" l="1"/>
  <c r="G279" i="1" s="1"/>
  <c r="E280" i="1" l="1"/>
  <c r="G280" i="1" s="1"/>
  <c r="E281" i="1" l="1"/>
  <c r="G281" i="1" s="1"/>
  <c r="E282" i="1" l="1"/>
  <c r="G282" i="1" s="1"/>
  <c r="E283" i="1" l="1"/>
  <c r="G283" i="1" s="1"/>
  <c r="E284" i="1" l="1"/>
  <c r="G284" i="1" s="1"/>
  <c r="E285" i="1" l="1"/>
  <c r="G285" i="1" s="1"/>
  <c r="E286" i="1" l="1"/>
  <c r="G286" i="1" s="1"/>
  <c r="E287" i="1" l="1"/>
  <c r="G287" i="1" s="1"/>
  <c r="E288" i="1" l="1"/>
  <c r="G288" i="1" s="1"/>
  <c r="E289" i="1" l="1"/>
  <c r="G289" i="1" s="1"/>
  <c r="E290" i="1" l="1"/>
  <c r="G290" i="1" s="1"/>
  <c r="E291" i="1" l="1"/>
  <c r="G291" i="1" s="1"/>
  <c r="E292" i="1" l="1"/>
  <c r="G292" i="1" s="1"/>
  <c r="E293" i="1" l="1"/>
  <c r="G293" i="1" s="1"/>
  <c r="E294" i="1" l="1"/>
  <c r="G294" i="1" s="1"/>
  <c r="E295" i="1" l="1"/>
  <c r="G295" i="1" s="1"/>
  <c r="E296" i="1" l="1"/>
  <c r="G296" i="1" s="1"/>
  <c r="E297" i="1" l="1"/>
  <c r="G297" i="1" s="1"/>
  <c r="E298" i="1" l="1"/>
  <c r="G298" i="1" s="1"/>
  <c r="E299" i="1" l="1"/>
  <c r="G299" i="1" s="1"/>
  <c r="E300" i="1" l="1"/>
  <c r="G300" i="1" s="1"/>
  <c r="E301" i="1" l="1"/>
  <c r="G301" i="1" s="1"/>
  <c r="E302" i="1" l="1"/>
  <c r="G302" i="1" s="1"/>
  <c r="E303" i="1" l="1"/>
  <c r="G303" i="1" s="1"/>
  <c r="E304" i="1" l="1"/>
  <c r="G304" i="1" s="1"/>
  <c r="E305" i="1" l="1"/>
  <c r="G305" i="1" s="1"/>
  <c r="E306" i="1" l="1"/>
  <c r="G306" i="1" s="1"/>
  <c r="E307" i="1" l="1"/>
  <c r="G307" i="1" s="1"/>
  <c r="E308" i="1" l="1"/>
  <c r="G308" i="1" s="1"/>
  <c r="E309" i="1" l="1"/>
  <c r="G309" i="1" s="1"/>
  <c r="E310" i="1" l="1"/>
  <c r="G310" i="1" s="1"/>
  <c r="E311" i="1" l="1"/>
  <c r="G311" i="1" s="1"/>
  <c r="E312" i="1" l="1"/>
  <c r="G312" i="1" s="1"/>
  <c r="E313" i="1" l="1"/>
  <c r="G313" i="1" s="1"/>
  <c r="E314" i="1" l="1"/>
  <c r="G314" i="1" s="1"/>
  <c r="E315" i="1" l="1"/>
  <c r="G315" i="1" s="1"/>
  <c r="E316" i="1" l="1"/>
  <c r="G316" i="1" s="1"/>
  <c r="E317" i="1" l="1"/>
  <c r="G317" i="1" s="1"/>
  <c r="E318" i="1" l="1"/>
  <c r="G318" i="1" s="1"/>
  <c r="E319" i="1" l="1"/>
  <c r="G319" i="1" s="1"/>
  <c r="E320" i="1" l="1"/>
  <c r="G320" i="1" s="1"/>
  <c r="E321" i="1" l="1"/>
  <c r="G321" i="1" s="1"/>
  <c r="E322" i="1" l="1"/>
  <c r="G322" i="1" s="1"/>
  <c r="E323" i="1" l="1"/>
  <c r="G323" i="1" s="1"/>
  <c r="E324" i="1" l="1"/>
  <c r="G324" i="1" s="1"/>
  <c r="E325" i="1" l="1"/>
  <c r="G325" i="1" s="1"/>
  <c r="E326" i="1" l="1"/>
  <c r="G326" i="1" s="1"/>
  <c r="E327" i="1" l="1"/>
  <c r="G327" i="1" s="1"/>
  <c r="E328" i="1" l="1"/>
  <c r="G328" i="1" s="1"/>
  <c r="E329" i="1" l="1"/>
  <c r="G329" i="1" s="1"/>
  <c r="E330" i="1" l="1"/>
  <c r="G330" i="1" s="1"/>
  <c r="E331" i="1" l="1"/>
  <c r="G331" i="1" s="1"/>
  <c r="E332" i="1" l="1"/>
  <c r="G332" i="1" s="1"/>
  <c r="E333" i="1" l="1"/>
  <c r="G333" i="1" s="1"/>
  <c r="E334" i="1" l="1"/>
  <c r="G334" i="1" s="1"/>
  <c r="E335" i="1" l="1"/>
  <c r="G335" i="1" s="1"/>
  <c r="E336" i="1" l="1"/>
  <c r="G336" i="1" s="1"/>
  <c r="E337" i="1" l="1"/>
  <c r="G337" i="1" s="1"/>
  <c r="E338" i="1" l="1"/>
  <c r="G338" i="1" s="1"/>
  <c r="E339" i="1" l="1"/>
  <c r="G339" i="1" s="1"/>
  <c r="E340" i="1" l="1"/>
  <c r="G340" i="1" s="1"/>
  <c r="E341" i="1" l="1"/>
  <c r="G341" i="1" s="1"/>
  <c r="E342" i="1" l="1"/>
  <c r="G342" i="1" s="1"/>
  <c r="E343" i="1" l="1"/>
  <c r="G343" i="1" s="1"/>
  <c r="E344" i="1" l="1"/>
  <c r="G344" i="1" s="1"/>
  <c r="E345" i="1" l="1"/>
  <c r="G345" i="1" s="1"/>
  <c r="E346" i="1" l="1"/>
  <c r="G346" i="1" s="1"/>
  <c r="E347" i="1" l="1"/>
  <c r="G347" i="1" s="1"/>
  <c r="E348" i="1" l="1"/>
  <c r="G348" i="1" s="1"/>
  <c r="E349" i="1" l="1"/>
  <c r="G349" i="1" s="1"/>
  <c r="E350" i="1" l="1"/>
  <c r="G350" i="1" s="1"/>
  <c r="E351" i="1" l="1"/>
  <c r="G351" i="1" s="1"/>
  <c r="E352" i="1" l="1"/>
  <c r="G352" i="1" s="1"/>
  <c r="E353" i="1" l="1"/>
  <c r="G353" i="1" s="1"/>
  <c r="E354" i="1" l="1"/>
  <c r="G354" i="1" s="1"/>
  <c r="E355" i="1" l="1"/>
  <c r="G355" i="1" s="1"/>
  <c r="E356" i="1" l="1"/>
  <c r="G356" i="1" s="1"/>
  <c r="E357" i="1" l="1"/>
  <c r="G357" i="1" s="1"/>
  <c r="E358" i="1" l="1"/>
  <c r="G358" i="1" s="1"/>
  <c r="E359" i="1" l="1"/>
  <c r="G359" i="1" s="1"/>
  <c r="E360" i="1" l="1"/>
  <c r="G360" i="1" s="1"/>
  <c r="E361" i="1" l="1"/>
  <c r="G361" i="1" s="1"/>
  <c r="E362" i="1" l="1"/>
  <c r="G362" i="1" s="1"/>
  <c r="E363" i="1" l="1"/>
  <c r="G363" i="1" s="1"/>
  <c r="E364" i="1" l="1"/>
  <c r="G364" i="1" s="1"/>
  <c r="E365" i="1" l="1"/>
  <c r="G365" i="1" s="1"/>
  <c r="E366" i="1" l="1"/>
  <c r="G366" i="1" s="1"/>
  <c r="E367" i="1" l="1"/>
  <c r="G367" i="1" s="1"/>
  <c r="E368" i="1" l="1"/>
  <c r="G368" i="1" s="1"/>
  <c r="E369" i="1" l="1"/>
  <c r="G369" i="1" s="1"/>
  <c r="E370" i="1" l="1"/>
  <c r="G370" i="1" s="1"/>
  <c r="E371" i="1" l="1"/>
  <c r="G371" i="1" s="1"/>
  <c r="E372" i="1" l="1"/>
  <c r="G372" i="1" s="1"/>
  <c r="E373" i="1" l="1"/>
  <c r="G373" i="1" s="1"/>
  <c r="E374" i="1" l="1"/>
  <c r="G374" i="1" s="1"/>
  <c r="E375" i="1" l="1"/>
  <c r="G375" i="1" s="1"/>
  <c r="E376" i="1" l="1"/>
  <c r="G376" i="1" s="1"/>
  <c r="E377" i="1" l="1"/>
  <c r="G377" i="1" s="1"/>
  <c r="E378" i="1" l="1"/>
  <c r="G378" i="1" s="1"/>
  <c r="E379" i="1" l="1"/>
  <c r="G379" i="1" s="1"/>
  <c r="E380" i="1" l="1"/>
  <c r="G380" i="1" s="1"/>
  <c r="E381" i="1" l="1"/>
  <c r="G381" i="1" s="1"/>
  <c r="E382" i="1" l="1"/>
  <c r="G382" i="1" s="1"/>
  <c r="E383" i="1" l="1"/>
  <c r="G383" i="1" s="1"/>
  <c r="E384" i="1" l="1"/>
  <c r="G384" i="1" s="1"/>
  <c r="E385" i="1" l="1"/>
  <c r="G385" i="1" s="1"/>
  <c r="E386" i="1" l="1"/>
  <c r="G386" i="1" s="1"/>
  <c r="E387" i="1" l="1"/>
  <c r="G387" i="1" s="1"/>
  <c r="E388" i="1" l="1"/>
  <c r="G388" i="1" s="1"/>
  <c r="E389" i="1" l="1"/>
  <c r="G389" i="1" s="1"/>
  <c r="E390" i="1" l="1"/>
  <c r="G390" i="1" s="1"/>
  <c r="E391" i="1" l="1"/>
  <c r="G391" i="1" s="1"/>
  <c r="E392" i="1" l="1"/>
  <c r="G392" i="1" s="1"/>
  <c r="E393" i="1" l="1"/>
  <c r="G393" i="1" s="1"/>
  <c r="E394" i="1" l="1"/>
  <c r="G394" i="1" s="1"/>
  <c r="E395" i="1" l="1"/>
  <c r="G395" i="1" s="1"/>
  <c r="E396" i="1" l="1"/>
  <c r="G396" i="1" s="1"/>
  <c r="E397" i="1" l="1"/>
  <c r="G397" i="1" s="1"/>
  <c r="E398" i="1" l="1"/>
  <c r="G398" i="1" s="1"/>
  <c r="E399" i="1" l="1"/>
  <c r="G399" i="1" s="1"/>
  <c r="E400" i="1" l="1"/>
  <c r="G400" i="1" s="1"/>
  <c r="E401" i="1" l="1"/>
  <c r="G401" i="1" s="1"/>
  <c r="E402" i="1" l="1"/>
  <c r="G402" i="1" s="1"/>
  <c r="E403" i="1" l="1"/>
  <c r="G403" i="1" s="1"/>
  <c r="E404" i="1" l="1"/>
  <c r="G404" i="1" s="1"/>
  <c r="E405" i="1" l="1"/>
  <c r="G405" i="1" s="1"/>
  <c r="E406" i="1" l="1"/>
  <c r="G406" i="1" s="1"/>
  <c r="E407" i="1" l="1"/>
  <c r="G407" i="1" s="1"/>
  <c r="E408" i="1" l="1"/>
  <c r="G408" i="1" s="1"/>
  <c r="E409" i="1" l="1"/>
  <c r="G409" i="1" s="1"/>
  <c r="E410" i="1" l="1"/>
  <c r="G410" i="1" s="1"/>
  <c r="E411" i="1" l="1"/>
  <c r="G411" i="1" s="1"/>
  <c r="E412" i="1" l="1"/>
  <c r="G412" i="1" s="1"/>
  <c r="E413" i="1" l="1"/>
  <c r="G413" i="1" s="1"/>
  <c r="E414" i="1" l="1"/>
  <c r="G414" i="1" s="1"/>
  <c r="E415" i="1" l="1"/>
  <c r="G415" i="1" s="1"/>
  <c r="E416" i="1" l="1"/>
  <c r="G416" i="1" s="1"/>
  <c r="E417" i="1" l="1"/>
  <c r="G417" i="1" s="1"/>
  <c r="E418" i="1" l="1"/>
  <c r="G418" i="1" s="1"/>
  <c r="E419" i="1" l="1"/>
  <c r="G419" i="1" s="1"/>
  <c r="E420" i="1" l="1"/>
  <c r="G420" i="1" s="1"/>
  <c r="E421" i="1" l="1"/>
  <c r="G421" i="1" s="1"/>
  <c r="E422" i="1" l="1"/>
  <c r="G422" i="1" s="1"/>
  <c r="E423" i="1" l="1"/>
  <c r="G423" i="1" s="1"/>
  <c r="E424" i="1" l="1"/>
  <c r="G424" i="1" s="1"/>
  <c r="E425" i="1" l="1"/>
  <c r="G425" i="1" s="1"/>
  <c r="E426" i="1" l="1"/>
  <c r="G426" i="1" s="1"/>
  <c r="E427" i="1" l="1"/>
  <c r="G427" i="1" s="1"/>
  <c r="E428" i="1" l="1"/>
  <c r="G428" i="1" s="1"/>
  <c r="E429" i="1" l="1"/>
  <c r="G429" i="1" s="1"/>
  <c r="E430" i="1" l="1"/>
  <c r="G430" i="1" s="1"/>
  <c r="E431" i="1" l="1"/>
  <c r="G431" i="1" s="1"/>
  <c r="E432" i="1" l="1"/>
  <c r="G432" i="1" s="1"/>
  <c r="E433" i="1" l="1"/>
  <c r="G433" i="1" s="1"/>
  <c r="E434" i="1" l="1"/>
  <c r="G434" i="1" s="1"/>
  <c r="E435" i="1" l="1"/>
  <c r="G435" i="1" s="1"/>
  <c r="E436" i="1" l="1"/>
  <c r="G436" i="1" s="1"/>
  <c r="E437" i="1" l="1"/>
  <c r="G437" i="1" s="1"/>
  <c r="E438" i="1" l="1"/>
  <c r="G438" i="1" s="1"/>
  <c r="E439" i="1" l="1"/>
  <c r="G439" i="1" s="1"/>
  <c r="E440" i="1" l="1"/>
  <c r="G440" i="1" s="1"/>
  <c r="E441" i="1" l="1"/>
  <c r="G441" i="1" s="1"/>
  <c r="E442" i="1" l="1"/>
  <c r="G442" i="1" s="1"/>
  <c r="E443" i="1" l="1"/>
  <c r="G443" i="1" s="1"/>
  <c r="E444" i="1" l="1"/>
  <c r="G444" i="1" s="1"/>
  <c r="E445" i="1" l="1"/>
  <c r="G445" i="1" s="1"/>
  <c r="E446" i="1" l="1"/>
  <c r="G446" i="1" s="1"/>
  <c r="E447" i="1" l="1"/>
  <c r="G447" i="1" s="1"/>
  <c r="E448" i="1" l="1"/>
  <c r="G448" i="1" s="1"/>
  <c r="E449" i="1" l="1"/>
  <c r="G449" i="1" s="1"/>
  <c r="E450" i="1" l="1"/>
  <c r="G450" i="1" s="1"/>
  <c r="E451" i="1" l="1"/>
  <c r="G451" i="1" s="1"/>
  <c r="E452" i="1" l="1"/>
  <c r="G452" i="1" s="1"/>
  <c r="E453" i="1" l="1"/>
  <c r="G453" i="1" s="1"/>
  <c r="E454" i="1" l="1"/>
  <c r="G454" i="1" s="1"/>
  <c r="E455" i="1" l="1"/>
  <c r="G455" i="1" s="1"/>
  <c r="E456" i="1" l="1"/>
  <c r="G456" i="1" s="1"/>
  <c r="E457" i="1" l="1"/>
  <c r="G457" i="1" s="1"/>
  <c r="E458" i="1" l="1"/>
  <c r="G458" i="1" s="1"/>
  <c r="E459" i="1" l="1"/>
  <c r="G459" i="1" s="1"/>
  <c r="E460" i="1" l="1"/>
  <c r="G460" i="1" s="1"/>
  <c r="E461" i="1" l="1"/>
  <c r="G461" i="1" s="1"/>
  <c r="E462" i="1" l="1"/>
  <c r="G462" i="1" s="1"/>
  <c r="E463" i="1" l="1"/>
  <c r="G463" i="1" s="1"/>
  <c r="E464" i="1" l="1"/>
  <c r="G464" i="1" s="1"/>
  <c r="E465" i="1" l="1"/>
  <c r="G465" i="1" s="1"/>
  <c r="E466" i="1" l="1"/>
  <c r="G466" i="1" s="1"/>
  <c r="E467" i="1" l="1"/>
  <c r="G467" i="1" s="1"/>
  <c r="E468" i="1" l="1"/>
  <c r="G468" i="1" s="1"/>
  <c r="E469" i="1" l="1"/>
  <c r="G469" i="1" s="1"/>
  <c r="E470" i="1" l="1"/>
  <c r="G470" i="1" s="1"/>
  <c r="E471" i="1" l="1"/>
  <c r="G471" i="1" s="1"/>
  <c r="E472" i="1" l="1"/>
  <c r="G472" i="1" s="1"/>
  <c r="E473" i="1" l="1"/>
  <c r="G473" i="1" s="1"/>
  <c r="E474" i="1" l="1"/>
  <c r="G474" i="1" s="1"/>
  <c r="E475" i="1" l="1"/>
  <c r="G475" i="1" s="1"/>
  <c r="E476" i="1" l="1"/>
  <c r="G476" i="1" s="1"/>
  <c r="E477" i="1" l="1"/>
  <c r="G477" i="1" s="1"/>
  <c r="E478" i="1" l="1"/>
  <c r="G478" i="1" s="1"/>
  <c r="E479" i="1" l="1"/>
  <c r="G479" i="1" s="1"/>
  <c r="E480" i="1" l="1"/>
  <c r="G480" i="1" s="1"/>
  <c r="E481" i="1" l="1"/>
  <c r="G481" i="1" s="1"/>
  <c r="E482" i="1" l="1"/>
  <c r="G482" i="1" s="1"/>
  <c r="E483" i="1" l="1"/>
  <c r="G483" i="1" s="1"/>
  <c r="E484" i="1" l="1"/>
  <c r="G484" i="1" s="1"/>
  <c r="E485" i="1" l="1"/>
  <c r="G485" i="1" s="1"/>
  <c r="E486" i="1" l="1"/>
  <c r="G486" i="1" s="1"/>
  <c r="E487" i="1" l="1"/>
  <c r="G487" i="1" s="1"/>
  <c r="E488" i="1" l="1"/>
  <c r="G488" i="1" s="1"/>
  <c r="E489" i="1" l="1"/>
  <c r="G489" i="1" s="1"/>
  <c r="E490" i="1" l="1"/>
  <c r="G490" i="1" s="1"/>
  <c r="E491" i="1" l="1"/>
  <c r="G491" i="1" s="1"/>
  <c r="E492" i="1" l="1"/>
  <c r="G492" i="1" s="1"/>
  <c r="E493" i="1" l="1"/>
  <c r="G493" i="1" s="1"/>
  <c r="E494" i="1" l="1"/>
  <c r="G494" i="1" s="1"/>
  <c r="E495" i="1" l="1"/>
  <c r="G495" i="1" s="1"/>
  <c r="E496" i="1" l="1"/>
  <c r="G496" i="1" s="1"/>
  <c r="E497" i="1" l="1"/>
  <c r="G497" i="1" s="1"/>
  <c r="E498" i="1" l="1"/>
  <c r="G498" i="1" s="1"/>
  <c r="E499" i="1" l="1"/>
  <c r="G499" i="1" s="1"/>
  <c r="E500" i="1" l="1"/>
  <c r="G500" i="1" s="1"/>
  <c r="E501" i="1" l="1"/>
  <c r="G501" i="1" s="1"/>
  <c r="E502" i="1" l="1"/>
  <c r="G502" i="1" s="1"/>
  <c r="E503" i="1" l="1"/>
  <c r="G503" i="1" s="1"/>
  <c r="E504" i="1" l="1"/>
  <c r="G504" i="1" s="1"/>
  <c r="E505" i="1" l="1"/>
  <c r="G505" i="1" s="1"/>
</calcChain>
</file>

<file path=xl/sharedStrings.xml><?xml version="1.0" encoding="utf-8"?>
<sst xmlns="http://schemas.openxmlformats.org/spreadsheetml/2006/main" count="537" uniqueCount="14">
  <si>
    <t>Date</t>
  </si>
  <si>
    <t>Hour</t>
  </si>
  <si>
    <t>Region</t>
  </si>
  <si>
    <t>KPI 01</t>
  </si>
  <si>
    <t>KPI 02</t>
  </si>
  <si>
    <t>KPI 03</t>
  </si>
  <si>
    <t>Kucing</t>
  </si>
  <si>
    <t>Macan</t>
  </si>
  <si>
    <t>Pinguin</t>
  </si>
  <si>
    <t>Grand Total</t>
  </si>
  <si>
    <t>Sum of KPI 01</t>
  </si>
  <si>
    <t>Sum of KPI 02</t>
  </si>
  <si>
    <t>Sum of KPI 03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</si>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</sst>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[masterMacro.xlsm]Pivot!PivotTable1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KPI 01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Pivot!$AJ$3:$AJ$4</c:f>
              <c:strCache>
                <c:ptCount val="1"/>
                <c:pt idx="0">
                  <c:v>Kucing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Pivot!$AH$5:$AI$173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Pivot!$AJ$5:$AJ$173</c:f>
              <c:numCache>
                <c:formatCode>General</c:formatCode>
                <c:ptCount val="168"/>
                <c:pt idx="0">
                  <c:v>478.34022202830829</c:v>
                </c:pt>
                <c:pt idx="1">
                  <c:v>411.32864627211205</c:v>
                </c:pt>
                <c:pt idx="2">
                  <c:v>409.08539731870536</c:v>
                </c:pt>
                <c:pt idx="3">
                  <c:v>341.66296143097981</c:v>
                </c:pt>
                <c:pt idx="4">
                  <c:v>309.97658404853541</c:v>
                </c:pt>
                <c:pt idx="5">
                  <c:v>330.10875599758583</c:v>
                </c:pt>
                <c:pt idx="6">
                  <c:v>361.68911220123488</c:v>
                </c:pt>
                <c:pt idx="7">
                  <c:v>365.94214591249903</c:v>
                </c:pt>
                <c:pt idx="8">
                  <c:v>386.32303024835028</c:v>
                </c:pt>
                <c:pt idx="9">
                  <c:v>448.11990742539206</c:v>
                </c:pt>
                <c:pt idx="10">
                  <c:v>475.36732292645223</c:v>
                </c:pt>
                <c:pt idx="11">
                  <c:v>513.06760006944819</c:v>
                </c:pt>
                <c:pt idx="12">
                  <c:v>569.87419319905439</c:v>
                </c:pt>
                <c:pt idx="13">
                  <c:v>609.46909743474214</c:v>
                </c:pt>
                <c:pt idx="14">
                  <c:v>643.30257930236519</c:v>
                </c:pt>
                <c:pt idx="15">
                  <c:v>682.60243411628846</c:v>
                </c:pt>
                <c:pt idx="16">
                  <c:v>740.84577952723055</c:v>
                </c:pt>
                <c:pt idx="17">
                  <c:v>717.40957172498281</c:v>
                </c:pt>
                <c:pt idx="18">
                  <c:v>696.751814477724</c:v>
                </c:pt>
                <c:pt idx="19">
                  <c:v>679.01388603790986</c:v>
                </c:pt>
                <c:pt idx="20">
                  <c:v>652.15483911147385</c:v>
                </c:pt>
                <c:pt idx="21">
                  <c:v>614.82745399672069</c:v>
                </c:pt>
                <c:pt idx="22">
                  <c:v>555.77411819127701</c:v>
                </c:pt>
                <c:pt idx="23">
                  <c:v>521.94360331891676</c:v>
                </c:pt>
                <c:pt idx="24">
                  <c:v>458.90575398125117</c:v>
                </c:pt>
                <c:pt idx="25">
                  <c:v>406.85767445675464</c:v>
                </c:pt>
                <c:pt idx="26">
                  <c:v>384.99331308705507</c:v>
                </c:pt>
                <c:pt idx="27">
                  <c:v>386.40952701730242</c:v>
                </c:pt>
                <c:pt idx="28">
                  <c:v>332.9406517936917</c:v>
                </c:pt>
                <c:pt idx="29">
                  <c:v>312.95514817942109</c:v>
                </c:pt>
                <c:pt idx="30">
                  <c:v>343.34646882056035</c:v>
                </c:pt>
                <c:pt idx="31">
                  <c:v>381.96701279556646</c:v>
                </c:pt>
                <c:pt idx="32">
                  <c:v>369.55965135526651</c:v>
                </c:pt>
                <c:pt idx="33">
                  <c:v>437.99199495227708</c:v>
                </c:pt>
                <c:pt idx="34">
                  <c:v>480.29307643014579</c:v>
                </c:pt>
                <c:pt idx="35">
                  <c:v>512.60202642736954</c:v>
                </c:pt>
                <c:pt idx="36">
                  <c:v>550.78949983836162</c:v>
                </c:pt>
                <c:pt idx="37">
                  <c:v>597.66617159497628</c:v>
                </c:pt>
                <c:pt idx="38">
                  <c:v>672.98010647195349</c:v>
                </c:pt>
                <c:pt idx="39">
                  <c:v>680.12401061424077</c:v>
                </c:pt>
                <c:pt idx="40">
                  <c:v>689.51448620440328</c:v>
                </c:pt>
                <c:pt idx="41">
                  <c:v>735.03553503520709</c:v>
                </c:pt>
                <c:pt idx="42">
                  <c:v>731.14189780828531</c:v>
                </c:pt>
                <c:pt idx="43">
                  <c:v>711.02864219292769</c:v>
                </c:pt>
                <c:pt idx="44">
                  <c:v>678.61642141460129</c:v>
                </c:pt>
                <c:pt idx="45">
                  <c:v>606.51749040459299</c:v>
                </c:pt>
                <c:pt idx="46">
                  <c:v>569.22285061028208</c:v>
                </c:pt>
                <c:pt idx="47">
                  <c:v>553.34710615487256</c:v>
                </c:pt>
                <c:pt idx="48">
                  <c:v>483.46681822696485</c:v>
                </c:pt>
                <c:pt idx="49">
                  <c:v>446.16252520628547</c:v>
                </c:pt>
                <c:pt idx="50">
                  <c:v>375.82510293892329</c:v>
                </c:pt>
                <c:pt idx="51">
                  <c:v>324.85400576182104</c:v>
                </c:pt>
                <c:pt idx="52">
                  <c:v>339.74390697879574</c:v>
                </c:pt>
                <c:pt idx="53">
                  <c:v>341.56852699028042</c:v>
                </c:pt>
                <c:pt idx="54">
                  <c:v>340.06306398049668</c:v>
                </c:pt>
                <c:pt idx="55">
                  <c:v>371.94559092506643</c:v>
                </c:pt>
                <c:pt idx="56">
                  <c:v>399.98149921316315</c:v>
                </c:pt>
                <c:pt idx="57">
                  <c:v>459.48092303002232</c:v>
                </c:pt>
                <c:pt idx="58">
                  <c:v>455.41312635998372</c:v>
                </c:pt>
                <c:pt idx="59">
                  <c:v>532.30064181065507</c:v>
                </c:pt>
                <c:pt idx="60">
                  <c:v>557.81626162745317</c:v>
                </c:pt>
                <c:pt idx="61">
                  <c:v>644.45237872364726</c:v>
                </c:pt>
                <c:pt idx="62">
                  <c:v>703.97308255995767</c:v>
                </c:pt>
                <c:pt idx="63">
                  <c:v>689.88549782846735</c:v>
                </c:pt>
                <c:pt idx="64">
                  <c:v>720.99459174525907</c:v>
                </c:pt>
                <c:pt idx="65">
                  <c:v>745.16145754898207</c:v>
                </c:pt>
                <c:pt idx="66">
                  <c:v>734.43344722197639</c:v>
                </c:pt>
                <c:pt idx="67">
                  <c:v>716.21437201986998</c:v>
                </c:pt>
                <c:pt idx="68">
                  <c:v>664.73881834803171</c:v>
                </c:pt>
                <c:pt idx="69">
                  <c:v>619.1905687738913</c:v>
                </c:pt>
                <c:pt idx="70">
                  <c:v>557.77500154589666</c:v>
                </c:pt>
                <c:pt idx="71">
                  <c:v>511.03290952752144</c:v>
                </c:pt>
                <c:pt idx="72">
                  <c:v>456.279357687176</c:v>
                </c:pt>
                <c:pt idx="73">
                  <c:v>452.40140443283065</c:v>
                </c:pt>
                <c:pt idx="74">
                  <c:v>409.56825624328059</c:v>
                </c:pt>
                <c:pt idx="75">
                  <c:v>362.63098926814621</c:v>
                </c:pt>
                <c:pt idx="76">
                  <c:v>355.50863632599163</c:v>
                </c:pt>
                <c:pt idx="77">
                  <c:v>351.48604667419215</c:v>
                </c:pt>
                <c:pt idx="78">
                  <c:v>339.22225562821751</c:v>
                </c:pt>
                <c:pt idx="79">
                  <c:v>323.39980799800941</c:v>
                </c:pt>
                <c:pt idx="80">
                  <c:v>406.9388251844365</c:v>
                </c:pt>
                <c:pt idx="81">
                  <c:v>435.97366144041962</c:v>
                </c:pt>
                <c:pt idx="82">
                  <c:v>456.80834661931084</c:v>
                </c:pt>
                <c:pt idx="83">
                  <c:v>518.49547308716569</c:v>
                </c:pt>
                <c:pt idx="84">
                  <c:v>556.73131196946758</c:v>
                </c:pt>
                <c:pt idx="85">
                  <c:v>617.50488083546861</c:v>
                </c:pt>
                <c:pt idx="86">
                  <c:v>666.32876885870019</c:v>
                </c:pt>
                <c:pt idx="87">
                  <c:v>714.43475942815087</c:v>
                </c:pt>
                <c:pt idx="88">
                  <c:v>738.06015757223167</c:v>
                </c:pt>
                <c:pt idx="89">
                  <c:v>759.26860267030872</c:v>
                </c:pt>
                <c:pt idx="90">
                  <c:v>738.41250376288133</c:v>
                </c:pt>
                <c:pt idx="91">
                  <c:v>730.40621459069791</c:v>
                </c:pt>
                <c:pt idx="92">
                  <c:v>656.8504843018228</c:v>
                </c:pt>
                <c:pt idx="93">
                  <c:v>632.72364176997644</c:v>
                </c:pt>
                <c:pt idx="94">
                  <c:v>564.51679583259295</c:v>
                </c:pt>
                <c:pt idx="95">
                  <c:v>522.88493790592941</c:v>
                </c:pt>
                <c:pt idx="96">
                  <c:v>452.54912065572864</c:v>
                </c:pt>
                <c:pt idx="97">
                  <c:v>456.04350114584906</c:v>
                </c:pt>
                <c:pt idx="98">
                  <c:v>415.9979868428544</c:v>
                </c:pt>
                <c:pt idx="99">
                  <c:v>328.2547543515816</c:v>
                </c:pt>
                <c:pt idx="100">
                  <c:v>314.99391100491295</c:v>
                </c:pt>
                <c:pt idx="101">
                  <c:v>329.99275658380617</c:v>
                </c:pt>
                <c:pt idx="102">
                  <c:v>360.63158631428689</c:v>
                </c:pt>
                <c:pt idx="103">
                  <c:v>363.69917440704916</c:v>
                </c:pt>
                <c:pt idx="104">
                  <c:v>389.86905281337516</c:v>
                </c:pt>
                <c:pt idx="105">
                  <c:v>440.21481989441429</c:v>
                </c:pt>
                <c:pt idx="106">
                  <c:v>476.89550442842148</c:v>
                </c:pt>
                <c:pt idx="107">
                  <c:v>518.03065381138435</c:v>
                </c:pt>
                <c:pt idx="108">
                  <c:v>603.95294164329562</c:v>
                </c:pt>
                <c:pt idx="109">
                  <c:v>647.64791946868695</c:v>
                </c:pt>
                <c:pt idx="110">
                  <c:v>694.34795238444065</c:v>
                </c:pt>
                <c:pt idx="111">
                  <c:v>686.7208061282455</c:v>
                </c:pt>
                <c:pt idx="112">
                  <c:v>724.16860693593912</c:v>
                </c:pt>
                <c:pt idx="113">
                  <c:v>740.82532507989083</c:v>
                </c:pt>
                <c:pt idx="114">
                  <c:v>717.83422234250565</c:v>
                </c:pt>
                <c:pt idx="115">
                  <c:v>724.2831718759868</c:v>
                </c:pt>
                <c:pt idx="116">
                  <c:v>687.83409573852214</c:v>
                </c:pt>
                <c:pt idx="117">
                  <c:v>614.3421836149322</c:v>
                </c:pt>
                <c:pt idx="118">
                  <c:v>551.47344960529233</c:v>
                </c:pt>
                <c:pt idx="119">
                  <c:v>558.42509301023472</c:v>
                </c:pt>
                <c:pt idx="120">
                  <c:v>487.74150182724321</c:v>
                </c:pt>
                <c:pt idx="121">
                  <c:v>401.09905089162243</c:v>
                </c:pt>
                <c:pt idx="122">
                  <c:v>378.89955148079684</c:v>
                </c:pt>
                <c:pt idx="123">
                  <c:v>337.44798560301479</c:v>
                </c:pt>
                <c:pt idx="124">
                  <c:v>315.84433512128811</c:v>
                </c:pt>
                <c:pt idx="125">
                  <c:v>337.03591343954417</c:v>
                </c:pt>
                <c:pt idx="126">
                  <c:v>343.74275303314693</c:v>
                </c:pt>
                <c:pt idx="127">
                  <c:v>365.68750271590989</c:v>
                </c:pt>
                <c:pt idx="128">
                  <c:v>394.37811087076858</c:v>
                </c:pt>
                <c:pt idx="129">
                  <c:v>417.27606755598373</c:v>
                </c:pt>
                <c:pt idx="130">
                  <c:v>456.1362654671762</c:v>
                </c:pt>
                <c:pt idx="131">
                  <c:v>516.84992804392186</c:v>
                </c:pt>
                <c:pt idx="132">
                  <c:v>583.61838227024737</c:v>
                </c:pt>
                <c:pt idx="133">
                  <c:v>637.0462730779185</c:v>
                </c:pt>
                <c:pt idx="134">
                  <c:v>679.45734531062931</c:v>
                </c:pt>
                <c:pt idx="135">
                  <c:v>717.46848880142397</c:v>
                </c:pt>
                <c:pt idx="136">
                  <c:v>718.27375250056014</c:v>
                </c:pt>
                <c:pt idx="137">
                  <c:v>738.47092064059802</c:v>
                </c:pt>
                <c:pt idx="138">
                  <c:v>737.2543481371448</c:v>
                </c:pt>
                <c:pt idx="139">
                  <c:v>715.37156159063215</c:v>
                </c:pt>
                <c:pt idx="140">
                  <c:v>686.50182858517439</c:v>
                </c:pt>
                <c:pt idx="141">
                  <c:v>618.40677099290292</c:v>
                </c:pt>
                <c:pt idx="142">
                  <c:v>553.20757104974359</c:v>
                </c:pt>
                <c:pt idx="143">
                  <c:v>504.94860070965461</c:v>
                </c:pt>
                <c:pt idx="144">
                  <c:v>453.46616444097828</c:v>
                </c:pt>
                <c:pt idx="145">
                  <c:v>426.55104693111059</c:v>
                </c:pt>
                <c:pt idx="146">
                  <c:v>382.44913254256488</c:v>
                </c:pt>
                <c:pt idx="147">
                  <c:v>365.72583300030772</c:v>
                </c:pt>
                <c:pt idx="148">
                  <c:v>332.96264296614549</c:v>
                </c:pt>
                <c:pt idx="149">
                  <c:v>332.38718517666337</c:v>
                </c:pt>
                <c:pt idx="150">
                  <c:v>332.35136683378613</c:v>
                </c:pt>
                <c:pt idx="151">
                  <c:v>371.41008645237991</c:v>
                </c:pt>
                <c:pt idx="152">
                  <c:v>397.12786028448875</c:v>
                </c:pt>
                <c:pt idx="153">
                  <c:v>464.56553570078603</c:v>
                </c:pt>
                <c:pt idx="154">
                  <c:v>493.75436837564587</c:v>
                </c:pt>
                <c:pt idx="155">
                  <c:v>517.53128763883797</c:v>
                </c:pt>
                <c:pt idx="156">
                  <c:v>571.67419207954424</c:v>
                </c:pt>
                <c:pt idx="157">
                  <c:v>656.81666657130847</c:v>
                </c:pt>
                <c:pt idx="158">
                  <c:v>700.41275258135238</c:v>
                </c:pt>
                <c:pt idx="159">
                  <c:v>694.19614279479947</c:v>
                </c:pt>
                <c:pt idx="160">
                  <c:v>733.30817356102375</c:v>
                </c:pt>
                <c:pt idx="161">
                  <c:v>712.94827682164714</c:v>
                </c:pt>
                <c:pt idx="162">
                  <c:v>714.13676517457156</c:v>
                </c:pt>
                <c:pt idx="163">
                  <c:v>707.84029715022029</c:v>
                </c:pt>
                <c:pt idx="164">
                  <c:v>648.95360796159423</c:v>
                </c:pt>
                <c:pt idx="165">
                  <c:v>644.94536230031758</c:v>
                </c:pt>
                <c:pt idx="166">
                  <c:v>591.64638895000439</c:v>
                </c:pt>
                <c:pt idx="167">
                  <c:v>541.40871277145379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C-43CD-80F7-258F122601F3}"/>
            </c:ext>
          </c:extLst>
        </c:ser>
        <c:ser>
          <c:idx val="1"/>
          <c:order val="1"/>
          <c:tx>
            <c:strRef>
              <c:f>Pivot!$AK$3:$AK$4</c:f>
              <c:strCache>
                <c:ptCount val="1"/>
                <c:pt idx="0">
                  <c:v>Macan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Pivot!$AH$5:$AI$173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Pivot!$AK$5:$AK$173</c:f>
              <c:numCache>
                <c:formatCode>General</c:formatCode>
                <c:ptCount val="168"/>
                <c:pt idx="0">
                  <c:v>561.76573797510832</c:v>
                </c:pt>
                <c:pt idx="1">
                  <c:v>510.22406544515439</c:v>
                </c:pt>
                <c:pt idx="2">
                  <c:v>503.07613540813281</c:v>
                </c:pt>
                <c:pt idx="3">
                  <c:v>452.73744831899592</c:v>
                </c:pt>
                <c:pt idx="4">
                  <c:v>448.39175757593279</c:v>
                </c:pt>
                <c:pt idx="5">
                  <c:v>437.2644952805706</c:v>
                </c:pt>
                <c:pt idx="6">
                  <c:v>420.97523231109665</c:v>
                </c:pt>
                <c:pt idx="7">
                  <c:v>443.40652335681807</c:v>
                </c:pt>
                <c:pt idx="8">
                  <c:v>484.86513324219408</c:v>
                </c:pt>
                <c:pt idx="9">
                  <c:v>505.79744655321457</c:v>
                </c:pt>
                <c:pt idx="10">
                  <c:v>580.2442085757707</c:v>
                </c:pt>
                <c:pt idx="11">
                  <c:v>662.26888933256487</c:v>
                </c:pt>
                <c:pt idx="12">
                  <c:v>674.06133869762289</c:v>
                </c:pt>
                <c:pt idx="13">
                  <c:v>757.28996392016199</c:v>
                </c:pt>
                <c:pt idx="14">
                  <c:v>754.76583610023272</c:v>
                </c:pt>
                <c:pt idx="15">
                  <c:v>788.44546754766714</c:v>
                </c:pt>
                <c:pt idx="16">
                  <c:v>798.78703146698001</c:v>
                </c:pt>
                <c:pt idx="17">
                  <c:v>853.98242311770366</c:v>
                </c:pt>
                <c:pt idx="18">
                  <c:v>828.57723054529458</c:v>
                </c:pt>
                <c:pt idx="19">
                  <c:v>795.84158014194679</c:v>
                </c:pt>
                <c:pt idx="20">
                  <c:v>780.74477756262831</c:v>
                </c:pt>
                <c:pt idx="21">
                  <c:v>733.7417618103832</c:v>
                </c:pt>
                <c:pt idx="22">
                  <c:v>694.6222330207878</c:v>
                </c:pt>
                <c:pt idx="23">
                  <c:v>611.75772708515842</c:v>
                </c:pt>
                <c:pt idx="24">
                  <c:v>573.66052430081845</c:v>
                </c:pt>
                <c:pt idx="25">
                  <c:v>495.70149752662803</c:v>
                </c:pt>
                <c:pt idx="26">
                  <c:v>521.3156997477912</c:v>
                </c:pt>
                <c:pt idx="27">
                  <c:v>433.14555939855597</c:v>
                </c:pt>
                <c:pt idx="28">
                  <c:v>431.68897273408976</c:v>
                </c:pt>
                <c:pt idx="29">
                  <c:v>447.20048474608859</c:v>
                </c:pt>
                <c:pt idx="30">
                  <c:v>426.48525928672694</c:v>
                </c:pt>
                <c:pt idx="31">
                  <c:v>443.60908468561269</c:v>
                </c:pt>
                <c:pt idx="32">
                  <c:v>471.56019754358624</c:v>
                </c:pt>
                <c:pt idx="33">
                  <c:v>498.38397694556988</c:v>
                </c:pt>
                <c:pt idx="34">
                  <c:v>587.82083279560516</c:v>
                </c:pt>
                <c:pt idx="35">
                  <c:v>651.94407672387729</c:v>
                </c:pt>
                <c:pt idx="36">
                  <c:v>662.47866159889361</c:v>
                </c:pt>
                <c:pt idx="37">
                  <c:v>711.69335181036524</c:v>
                </c:pt>
                <c:pt idx="38">
                  <c:v>795.84183864759871</c:v>
                </c:pt>
                <c:pt idx="39">
                  <c:v>792.72738969303975</c:v>
                </c:pt>
                <c:pt idx="40">
                  <c:v>844.4203394609691</c:v>
                </c:pt>
                <c:pt idx="41">
                  <c:v>847.59719084816129</c:v>
                </c:pt>
                <c:pt idx="42">
                  <c:v>834.22354337240199</c:v>
                </c:pt>
                <c:pt idx="43">
                  <c:v>823.35735683552161</c:v>
                </c:pt>
                <c:pt idx="44">
                  <c:v>757.92566281063228</c:v>
                </c:pt>
                <c:pt idx="45">
                  <c:v>730.00050573430292</c:v>
                </c:pt>
                <c:pt idx="46">
                  <c:v>661.9463509278296</c:v>
                </c:pt>
                <c:pt idx="47">
                  <c:v>644.88536133587309</c:v>
                </c:pt>
                <c:pt idx="48">
                  <c:v>556.42688242672079</c:v>
                </c:pt>
                <c:pt idx="49">
                  <c:v>532.09514427963086</c:v>
                </c:pt>
                <c:pt idx="50">
                  <c:v>470.01853912310673</c:v>
                </c:pt>
                <c:pt idx="51">
                  <c:v>482.19860446225505</c:v>
                </c:pt>
                <c:pt idx="52">
                  <c:v>432.79086646693003</c:v>
                </c:pt>
                <c:pt idx="53">
                  <c:v>437.96638219905708</c:v>
                </c:pt>
                <c:pt idx="54">
                  <c:v>428.98729677453133</c:v>
                </c:pt>
                <c:pt idx="55">
                  <c:v>471.80320194182298</c:v>
                </c:pt>
                <c:pt idx="56">
                  <c:v>491.94465449490497</c:v>
                </c:pt>
                <c:pt idx="57">
                  <c:v>524.72035043695655</c:v>
                </c:pt>
                <c:pt idx="58">
                  <c:v>573.46033445453929</c:v>
                </c:pt>
                <c:pt idx="59">
                  <c:v>659.46000929397314</c:v>
                </c:pt>
                <c:pt idx="60">
                  <c:v>687.26455017725561</c:v>
                </c:pt>
                <c:pt idx="61">
                  <c:v>749.66544200613714</c:v>
                </c:pt>
                <c:pt idx="62">
                  <c:v>788.45550305520953</c:v>
                </c:pt>
                <c:pt idx="63">
                  <c:v>787.85846282381181</c:v>
                </c:pt>
                <c:pt idx="64">
                  <c:v>852.21138729156053</c:v>
                </c:pt>
                <c:pt idx="65">
                  <c:v>845.83124468837343</c:v>
                </c:pt>
                <c:pt idx="66">
                  <c:v>839.95487558728337</c:v>
                </c:pt>
                <c:pt idx="67">
                  <c:v>815.33623039591862</c:v>
                </c:pt>
                <c:pt idx="68">
                  <c:v>787.90138428677574</c:v>
                </c:pt>
                <c:pt idx="69">
                  <c:v>723.70821369701707</c:v>
                </c:pt>
                <c:pt idx="70">
                  <c:v>686.90413509639768</c:v>
                </c:pt>
                <c:pt idx="71">
                  <c:v>611.39855504962725</c:v>
                </c:pt>
                <c:pt idx="72">
                  <c:v>573.08978298378167</c:v>
                </c:pt>
                <c:pt idx="73">
                  <c:v>512.56052066087398</c:v>
                </c:pt>
                <c:pt idx="74">
                  <c:v>460.18305249417529</c:v>
                </c:pt>
                <c:pt idx="75">
                  <c:v>473.16694450531509</c:v>
                </c:pt>
                <c:pt idx="76">
                  <c:v>402.73654107428854</c:v>
                </c:pt>
                <c:pt idx="77">
                  <c:v>412.44677676081506</c:v>
                </c:pt>
                <c:pt idx="78">
                  <c:v>418.92386131414651</c:v>
                </c:pt>
                <c:pt idx="79">
                  <c:v>466.51965475191673</c:v>
                </c:pt>
                <c:pt idx="80">
                  <c:v>481.18254729410734</c:v>
                </c:pt>
                <c:pt idx="81">
                  <c:v>513.21014922837981</c:v>
                </c:pt>
                <c:pt idx="82">
                  <c:v>577.88508176215737</c:v>
                </c:pt>
                <c:pt idx="83">
                  <c:v>655.28231023685419</c:v>
                </c:pt>
                <c:pt idx="84">
                  <c:v>669.81466490239677</c:v>
                </c:pt>
                <c:pt idx="85">
                  <c:v>736.24050695963911</c:v>
                </c:pt>
                <c:pt idx="86">
                  <c:v>788.38212121113543</c:v>
                </c:pt>
                <c:pt idx="87">
                  <c:v>828.94829916681397</c:v>
                </c:pt>
                <c:pt idx="88">
                  <c:v>818.92390107597498</c:v>
                </c:pt>
                <c:pt idx="89">
                  <c:v>837.07945757303764</c:v>
                </c:pt>
                <c:pt idx="90">
                  <c:v>820.16011773787818</c:v>
                </c:pt>
                <c:pt idx="91">
                  <c:v>787.90989683591397</c:v>
                </c:pt>
                <c:pt idx="92">
                  <c:v>757.28711472694761</c:v>
                </c:pt>
                <c:pt idx="93">
                  <c:v>704.3492521722228</c:v>
                </c:pt>
                <c:pt idx="94">
                  <c:v>684.8863535430047</c:v>
                </c:pt>
                <c:pt idx="95">
                  <c:v>620.91429357880531</c:v>
                </c:pt>
                <c:pt idx="96">
                  <c:v>565.2578057257906</c:v>
                </c:pt>
                <c:pt idx="97">
                  <c:v>515.51769590672177</c:v>
                </c:pt>
                <c:pt idx="98">
                  <c:v>470.05271660488307</c:v>
                </c:pt>
                <c:pt idx="99">
                  <c:v>446.75709072846718</c:v>
                </c:pt>
                <c:pt idx="100">
                  <c:v>405.2822904239012</c:v>
                </c:pt>
                <c:pt idx="101">
                  <c:v>430.83623321009037</c:v>
                </c:pt>
                <c:pt idx="102">
                  <c:v>465.16689506505173</c:v>
                </c:pt>
                <c:pt idx="103">
                  <c:v>452.28138086624239</c:v>
                </c:pt>
                <c:pt idx="104">
                  <c:v>479.56807480676315</c:v>
                </c:pt>
                <c:pt idx="105">
                  <c:v>554.57461870907389</c:v>
                </c:pt>
                <c:pt idx="106">
                  <c:v>610.99634719772303</c:v>
                </c:pt>
                <c:pt idx="107">
                  <c:v>654.66761061993691</c:v>
                </c:pt>
                <c:pt idx="108">
                  <c:v>706.56206889809141</c:v>
                </c:pt>
                <c:pt idx="109">
                  <c:v>701.46455557899367</c:v>
                </c:pt>
                <c:pt idx="110">
                  <c:v>776.80794107740121</c:v>
                </c:pt>
                <c:pt idx="111">
                  <c:v>835.25514207689025</c:v>
                </c:pt>
                <c:pt idx="112">
                  <c:v>821.65894859028413</c:v>
                </c:pt>
                <c:pt idx="113">
                  <c:v>806.48225430592151</c:v>
                </c:pt>
                <c:pt idx="114">
                  <c:v>812.16594998351093</c:v>
                </c:pt>
                <c:pt idx="115">
                  <c:v>778.0558599901558</c:v>
                </c:pt>
                <c:pt idx="116">
                  <c:v>743.81793407954081</c:v>
                </c:pt>
                <c:pt idx="117">
                  <c:v>714.19023161052576</c:v>
                </c:pt>
                <c:pt idx="118">
                  <c:v>711.85812119967693</c:v>
                </c:pt>
                <c:pt idx="119">
                  <c:v>630.03438785164212</c:v>
                </c:pt>
                <c:pt idx="120">
                  <c:v>559.56389156242949</c:v>
                </c:pt>
                <c:pt idx="121">
                  <c:v>517.18752859281165</c:v>
                </c:pt>
                <c:pt idx="122">
                  <c:v>467.35593898043822</c:v>
                </c:pt>
                <c:pt idx="123">
                  <c:v>476.76828555697409</c:v>
                </c:pt>
                <c:pt idx="124">
                  <c:v>404.76800888910026</c:v>
                </c:pt>
                <c:pt idx="125">
                  <c:v>428.30081551977679</c:v>
                </c:pt>
                <c:pt idx="126">
                  <c:v>411.30603108580073</c:v>
                </c:pt>
                <c:pt idx="127">
                  <c:v>470.14719418179624</c:v>
                </c:pt>
                <c:pt idx="128">
                  <c:v>473.55590059873776</c:v>
                </c:pt>
                <c:pt idx="129">
                  <c:v>523.35937676920878</c:v>
                </c:pt>
                <c:pt idx="130">
                  <c:v>592.16870654327511</c:v>
                </c:pt>
                <c:pt idx="131">
                  <c:v>601.05461145188929</c:v>
                </c:pt>
                <c:pt idx="132">
                  <c:v>701.36508014208061</c:v>
                </c:pt>
                <c:pt idx="133">
                  <c:v>755.34986487896788</c:v>
                </c:pt>
                <c:pt idx="134">
                  <c:v>749.34789273086722</c:v>
                </c:pt>
                <c:pt idx="135">
                  <c:v>817.22627441495263</c:v>
                </c:pt>
                <c:pt idx="136">
                  <c:v>798.85442153214035</c:v>
                </c:pt>
                <c:pt idx="137">
                  <c:v>831.12830778459579</c:v>
                </c:pt>
                <c:pt idx="138">
                  <c:v>830.95135014476978</c:v>
                </c:pt>
                <c:pt idx="139">
                  <c:v>793.68816055164041</c:v>
                </c:pt>
                <c:pt idx="140">
                  <c:v>767.18563657645939</c:v>
                </c:pt>
                <c:pt idx="141">
                  <c:v>714.26132439921537</c:v>
                </c:pt>
                <c:pt idx="142">
                  <c:v>650.03834450883448</c:v>
                </c:pt>
                <c:pt idx="143">
                  <c:v>649.13335219472742</c:v>
                </c:pt>
                <c:pt idx="144">
                  <c:v>597.48954842360263</c:v>
                </c:pt>
                <c:pt idx="145">
                  <c:v>543.26542484801871</c:v>
                </c:pt>
                <c:pt idx="146">
                  <c:v>520.73102542101947</c:v>
                </c:pt>
                <c:pt idx="147">
                  <c:v>437.7768194270638</c:v>
                </c:pt>
                <c:pt idx="148">
                  <c:v>407.15751243888985</c:v>
                </c:pt>
                <c:pt idx="149">
                  <c:v>400.64346623607344</c:v>
                </c:pt>
                <c:pt idx="150">
                  <c:v>411.8763943331154</c:v>
                </c:pt>
                <c:pt idx="151">
                  <c:v>442.35751415365172</c:v>
                </c:pt>
                <c:pt idx="152">
                  <c:v>511.22232132477313</c:v>
                </c:pt>
                <c:pt idx="153">
                  <c:v>530.68490309585479</c:v>
                </c:pt>
                <c:pt idx="154">
                  <c:v>575.2929038577862</c:v>
                </c:pt>
                <c:pt idx="155">
                  <c:v>636.17935877426248</c:v>
                </c:pt>
                <c:pt idx="156">
                  <c:v>676.67872178881021</c:v>
                </c:pt>
                <c:pt idx="157">
                  <c:v>698.34697042877588</c:v>
                </c:pt>
                <c:pt idx="158">
                  <c:v>789.91352849341547</c:v>
                </c:pt>
                <c:pt idx="159">
                  <c:v>800.2787660237683</c:v>
                </c:pt>
                <c:pt idx="160">
                  <c:v>857.40820582709011</c:v>
                </c:pt>
                <c:pt idx="161">
                  <c:v>800.6613483849859</c:v>
                </c:pt>
                <c:pt idx="162">
                  <c:v>804.70649661792027</c:v>
                </c:pt>
                <c:pt idx="163">
                  <c:v>822.24650607121475</c:v>
                </c:pt>
                <c:pt idx="164">
                  <c:v>759.21005590907907</c:v>
                </c:pt>
                <c:pt idx="165">
                  <c:v>748.5938629265537</c:v>
                </c:pt>
                <c:pt idx="166">
                  <c:v>672.44452240678322</c:v>
                </c:pt>
                <c:pt idx="167">
                  <c:v>621.17295353790985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C-43CD-80F7-258F122601F3}"/>
            </c:ext>
          </c:extLst>
        </c:ser>
        <c:ser>
          <c:idx val="2"/>
          <c:order val="2"/>
          <c:tx>
            <c:strRef>
              <c:f>Pivot!$AL$3:$AL$4</c:f>
              <c:strCache>
                <c:ptCount val="1"/>
                <c:pt idx="0">
                  <c:v>Pinguin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Pivot!$AH$5:$AI$173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Pivot!$AL$5:$AL$173</c:f>
              <c:numCache>
                <c:formatCode>General</c:formatCode>
                <c:ptCount val="168"/>
                <c:pt idx="0">
                  <c:v>659.62073395059792</c:v>
                </c:pt>
                <c:pt idx="1">
                  <c:v>609.18874850379086</c:v>
                </c:pt>
                <c:pt idx="2">
                  <c:v>563.55580589633485</c:v>
                </c:pt>
                <c:pt idx="3">
                  <c:v>594.38472031869526</c:v>
                </c:pt>
                <c:pt idx="4">
                  <c:v>519.72627263855134</c:v>
                </c:pt>
                <c:pt idx="5">
                  <c:v>522.74018815634008</c:v>
                </c:pt>
                <c:pt idx="6">
                  <c:v>532.99571818149479</c:v>
                </c:pt>
                <c:pt idx="7">
                  <c:v>587.40831660065135</c:v>
                </c:pt>
                <c:pt idx="8">
                  <c:v>606.34950785590593</c:v>
                </c:pt>
                <c:pt idx="9">
                  <c:v>614.87813465698002</c:v>
                </c:pt>
                <c:pt idx="10">
                  <c:v>661.59828818517201</c:v>
                </c:pt>
                <c:pt idx="11">
                  <c:v>718.54673437101678</c:v>
                </c:pt>
                <c:pt idx="12">
                  <c:v>766.51746950208428</c:v>
                </c:pt>
                <c:pt idx="13">
                  <c:v>837.41933455569165</c:v>
                </c:pt>
                <c:pt idx="14">
                  <c:v>846.31318462144668</c:v>
                </c:pt>
                <c:pt idx="15">
                  <c:v>924.22761663287145</c:v>
                </c:pt>
                <c:pt idx="16">
                  <c:v>889.91843302139239</c:v>
                </c:pt>
                <c:pt idx="17">
                  <c:v>908.29984459845161</c:v>
                </c:pt>
                <c:pt idx="18">
                  <c:v>954.12276558140127</c:v>
                </c:pt>
                <c:pt idx="19">
                  <c:v>881.2995260608551</c:v>
                </c:pt>
                <c:pt idx="20">
                  <c:v>872.79684480968899</c:v>
                </c:pt>
                <c:pt idx="21">
                  <c:v>840.09279163599945</c:v>
                </c:pt>
                <c:pt idx="22">
                  <c:v>760.65802797125559</c:v>
                </c:pt>
                <c:pt idx="23">
                  <c:v>703.16807399858169</c:v>
                </c:pt>
                <c:pt idx="24">
                  <c:v>668.25275770869268</c:v>
                </c:pt>
                <c:pt idx="25">
                  <c:v>652.7266283730213</c:v>
                </c:pt>
                <c:pt idx="26">
                  <c:v>596.35627171837552</c:v>
                </c:pt>
                <c:pt idx="27">
                  <c:v>559.64221657062876</c:v>
                </c:pt>
                <c:pt idx="28">
                  <c:v>523.72801040686829</c:v>
                </c:pt>
                <c:pt idx="29">
                  <c:v>521.1342596854879</c:v>
                </c:pt>
                <c:pt idx="30">
                  <c:v>558.21458826898902</c:v>
                </c:pt>
                <c:pt idx="31">
                  <c:v>554.18149082881473</c:v>
                </c:pt>
                <c:pt idx="32">
                  <c:v>627.31257617530503</c:v>
                </c:pt>
                <c:pt idx="33">
                  <c:v>633.8387735430166</c:v>
                </c:pt>
                <c:pt idx="34">
                  <c:v>658.46000874240997</c:v>
                </c:pt>
                <c:pt idx="35">
                  <c:v>748.79950504404337</c:v>
                </c:pt>
                <c:pt idx="36">
                  <c:v>764.30354064124583</c:v>
                </c:pt>
                <c:pt idx="37">
                  <c:v>812.40902008603211</c:v>
                </c:pt>
                <c:pt idx="38">
                  <c:v>886.46049741520949</c:v>
                </c:pt>
                <c:pt idx="39">
                  <c:v>873.66543102555897</c:v>
                </c:pt>
                <c:pt idx="40">
                  <c:v>899.43897100325523</c:v>
                </c:pt>
                <c:pt idx="41">
                  <c:v>903.87070158935876</c:v>
                </c:pt>
                <c:pt idx="42">
                  <c:v>911.12283671044997</c:v>
                </c:pt>
                <c:pt idx="43">
                  <c:v>900.47489073946099</c:v>
                </c:pt>
                <c:pt idx="44">
                  <c:v>871.41844236479824</c:v>
                </c:pt>
                <c:pt idx="45">
                  <c:v>811.64814511263899</c:v>
                </c:pt>
                <c:pt idx="46">
                  <c:v>785.43441050085096</c:v>
                </c:pt>
                <c:pt idx="47">
                  <c:v>747.7904063078895</c:v>
                </c:pt>
                <c:pt idx="48">
                  <c:v>651.6138116501071</c:v>
                </c:pt>
                <c:pt idx="49">
                  <c:v>608.50848889044187</c:v>
                </c:pt>
                <c:pt idx="50">
                  <c:v>553.82961373377805</c:v>
                </c:pt>
                <c:pt idx="51">
                  <c:v>569.96767338985569</c:v>
                </c:pt>
                <c:pt idx="52">
                  <c:v>523.31086623113083</c:v>
                </c:pt>
                <c:pt idx="53">
                  <c:v>522.56236563217283</c:v>
                </c:pt>
                <c:pt idx="54">
                  <c:v>555.31315803386235</c:v>
                </c:pt>
                <c:pt idx="55">
                  <c:v>526.43369156495658</c:v>
                </c:pt>
                <c:pt idx="56">
                  <c:v>573.21319606673865</c:v>
                </c:pt>
                <c:pt idx="57">
                  <c:v>617.23433587558691</c:v>
                </c:pt>
                <c:pt idx="58">
                  <c:v>689.03845531015247</c:v>
                </c:pt>
                <c:pt idx="59">
                  <c:v>700.24158124128701</c:v>
                </c:pt>
                <c:pt idx="60">
                  <c:v>798.38575506619623</c:v>
                </c:pt>
                <c:pt idx="61">
                  <c:v>801.86594658464423</c:v>
                </c:pt>
                <c:pt idx="62">
                  <c:v>853.21548463563806</c:v>
                </c:pt>
                <c:pt idx="63">
                  <c:v>885.45726554241253</c:v>
                </c:pt>
                <c:pt idx="64">
                  <c:v>912.18864583794903</c:v>
                </c:pt>
                <c:pt idx="65">
                  <c:v>921.4210665441941</c:v>
                </c:pt>
                <c:pt idx="66">
                  <c:v>920.56039173055274</c:v>
                </c:pt>
                <c:pt idx="67">
                  <c:v>911.15087149210535</c:v>
                </c:pt>
                <c:pt idx="68">
                  <c:v>867.67359540515565</c:v>
                </c:pt>
                <c:pt idx="69">
                  <c:v>821.47191845587156</c:v>
                </c:pt>
                <c:pt idx="70">
                  <c:v>764.07367503210844</c:v>
                </c:pt>
                <c:pt idx="71">
                  <c:v>745.32846398331037</c:v>
                </c:pt>
                <c:pt idx="72">
                  <c:v>703.42127103719349</c:v>
                </c:pt>
                <c:pt idx="73">
                  <c:v>617.17528201031132</c:v>
                </c:pt>
                <c:pt idx="74">
                  <c:v>561.82206831693941</c:v>
                </c:pt>
                <c:pt idx="75">
                  <c:v>551.79456941286082</c:v>
                </c:pt>
                <c:pt idx="76">
                  <c:v>522.59566219102317</c:v>
                </c:pt>
                <c:pt idx="77">
                  <c:v>505.29561626105385</c:v>
                </c:pt>
                <c:pt idx="78">
                  <c:v>520.62560117361363</c:v>
                </c:pt>
                <c:pt idx="79">
                  <c:v>532.74591491160743</c:v>
                </c:pt>
                <c:pt idx="80">
                  <c:v>601.70752032741632</c:v>
                </c:pt>
                <c:pt idx="81">
                  <c:v>632.1052282437812</c:v>
                </c:pt>
                <c:pt idx="82">
                  <c:v>658.0886864370425</c:v>
                </c:pt>
                <c:pt idx="83">
                  <c:v>751.62004015445473</c:v>
                </c:pt>
                <c:pt idx="84">
                  <c:v>778.19784299504602</c:v>
                </c:pt>
                <c:pt idx="85">
                  <c:v>824.82422657820598</c:v>
                </c:pt>
                <c:pt idx="86">
                  <c:v>847.20929861477327</c:v>
                </c:pt>
                <c:pt idx="87">
                  <c:v>925.63564631557301</c:v>
                </c:pt>
                <c:pt idx="88">
                  <c:v>903.86389021555306</c:v>
                </c:pt>
                <c:pt idx="89">
                  <c:v>926.44566064990192</c:v>
                </c:pt>
                <c:pt idx="90">
                  <c:v>903.08043489189299</c:v>
                </c:pt>
                <c:pt idx="91">
                  <c:v>897.44368738150331</c:v>
                </c:pt>
                <c:pt idx="92">
                  <c:v>897.73568447967875</c:v>
                </c:pt>
                <c:pt idx="93">
                  <c:v>861.23094773525304</c:v>
                </c:pt>
                <c:pt idx="94">
                  <c:v>810.32249381496797</c:v>
                </c:pt>
                <c:pt idx="95">
                  <c:v>719.32663796460668</c:v>
                </c:pt>
                <c:pt idx="96">
                  <c:v>697.61484993193926</c:v>
                </c:pt>
                <c:pt idx="97">
                  <c:v>630.59090612228374</c:v>
                </c:pt>
                <c:pt idx="98">
                  <c:v>564.41929892653479</c:v>
                </c:pt>
                <c:pt idx="99">
                  <c:v>572.54905386998712</c:v>
                </c:pt>
                <c:pt idx="100">
                  <c:v>569.46445421586043</c:v>
                </c:pt>
                <c:pt idx="101">
                  <c:v>527.85608957164857</c:v>
                </c:pt>
                <c:pt idx="102">
                  <c:v>559.39134095461429</c:v>
                </c:pt>
                <c:pt idx="103">
                  <c:v>534.90328651538755</c:v>
                </c:pt>
                <c:pt idx="104">
                  <c:v>621.7429810793418</c:v>
                </c:pt>
                <c:pt idx="105">
                  <c:v>650.52254862708742</c:v>
                </c:pt>
                <c:pt idx="106">
                  <c:v>673.00473839049323</c:v>
                </c:pt>
                <c:pt idx="107">
                  <c:v>722.54562726463325</c:v>
                </c:pt>
                <c:pt idx="108">
                  <c:v>818.6157056616953</c:v>
                </c:pt>
                <c:pt idx="109">
                  <c:v>858.49493627272682</c:v>
                </c:pt>
                <c:pt idx="110">
                  <c:v>855.93987764173869</c:v>
                </c:pt>
                <c:pt idx="111">
                  <c:v>906.52186988277469</c:v>
                </c:pt>
                <c:pt idx="112">
                  <c:v>924.01930951756719</c:v>
                </c:pt>
                <c:pt idx="113">
                  <c:v>907.41092924127327</c:v>
                </c:pt>
                <c:pt idx="114">
                  <c:v>894.98774125453224</c:v>
                </c:pt>
                <c:pt idx="115">
                  <c:v>903.74030224941509</c:v>
                </c:pt>
                <c:pt idx="116">
                  <c:v>909.89424001392956</c:v>
                </c:pt>
                <c:pt idx="117">
                  <c:v>820.98382162136818</c:v>
                </c:pt>
                <c:pt idx="118">
                  <c:v>818.28674871570468</c:v>
                </c:pt>
                <c:pt idx="119">
                  <c:v>738.96406691114282</c:v>
                </c:pt>
                <c:pt idx="120">
                  <c:v>692.31108606620228</c:v>
                </c:pt>
                <c:pt idx="121">
                  <c:v>646.96296882152365</c:v>
                </c:pt>
                <c:pt idx="122">
                  <c:v>609.7019806387641</c:v>
                </c:pt>
                <c:pt idx="123">
                  <c:v>558.09148504924713</c:v>
                </c:pt>
                <c:pt idx="124">
                  <c:v>560.19187965050457</c:v>
                </c:pt>
                <c:pt idx="125">
                  <c:v>559.20805112358846</c:v>
                </c:pt>
                <c:pt idx="126">
                  <c:v>565.53685438294531</c:v>
                </c:pt>
                <c:pt idx="127">
                  <c:v>563.99405180220026</c:v>
                </c:pt>
                <c:pt idx="128">
                  <c:v>608.51668136817693</c:v>
                </c:pt>
                <c:pt idx="129">
                  <c:v>632.35731098465226</c:v>
                </c:pt>
                <c:pt idx="130">
                  <c:v>698.96288520971325</c:v>
                </c:pt>
                <c:pt idx="131">
                  <c:v>760.40939644469029</c:v>
                </c:pt>
                <c:pt idx="132">
                  <c:v>796.23572601149885</c:v>
                </c:pt>
                <c:pt idx="133">
                  <c:v>841.40157188759406</c:v>
                </c:pt>
                <c:pt idx="134">
                  <c:v>849.81872536504648</c:v>
                </c:pt>
                <c:pt idx="135">
                  <c:v>911.03906639865045</c:v>
                </c:pt>
                <c:pt idx="136">
                  <c:v>929.35148527057129</c:v>
                </c:pt>
                <c:pt idx="137">
                  <c:v>953.85407837205253</c:v>
                </c:pt>
                <c:pt idx="138">
                  <c:v>951.46101911639528</c:v>
                </c:pt>
                <c:pt idx="139">
                  <c:v>917.69436099521931</c:v>
                </c:pt>
                <c:pt idx="140">
                  <c:v>883.97506701956934</c:v>
                </c:pt>
                <c:pt idx="141">
                  <c:v>804.30926374443641</c:v>
                </c:pt>
                <c:pt idx="142">
                  <c:v>792.71597019826095</c:v>
                </c:pt>
                <c:pt idx="143">
                  <c:v>736.11072827678049</c:v>
                </c:pt>
                <c:pt idx="144">
                  <c:v>680.18733718234148</c:v>
                </c:pt>
                <c:pt idx="145">
                  <c:v>655.52113687548604</c:v>
                </c:pt>
                <c:pt idx="146">
                  <c:v>578.10949033822158</c:v>
                </c:pt>
                <c:pt idx="147">
                  <c:v>536.7257454532039</c:v>
                </c:pt>
                <c:pt idx="148">
                  <c:v>565.87431059573726</c:v>
                </c:pt>
                <c:pt idx="149">
                  <c:v>538.89294919752524</c:v>
                </c:pt>
                <c:pt idx="150">
                  <c:v>552.09350412076867</c:v>
                </c:pt>
                <c:pt idx="151">
                  <c:v>584.98551986599136</c:v>
                </c:pt>
                <c:pt idx="152">
                  <c:v>594.35451134947937</c:v>
                </c:pt>
                <c:pt idx="153">
                  <c:v>611.20235796716543</c:v>
                </c:pt>
                <c:pt idx="154">
                  <c:v>663.59781793072148</c:v>
                </c:pt>
                <c:pt idx="155">
                  <c:v>734.0720902133952</c:v>
                </c:pt>
                <c:pt idx="156">
                  <c:v>761.09441575427093</c:v>
                </c:pt>
                <c:pt idx="157">
                  <c:v>818.11192452524563</c:v>
                </c:pt>
                <c:pt idx="158">
                  <c:v>881.45136008084296</c:v>
                </c:pt>
                <c:pt idx="159">
                  <c:v>878.18894683323549</c:v>
                </c:pt>
                <c:pt idx="160">
                  <c:v>923.58208884955752</c:v>
                </c:pt>
                <c:pt idx="161">
                  <c:v>945.45079465140213</c:v>
                </c:pt>
                <c:pt idx="162">
                  <c:v>916.5379249161964</c:v>
                </c:pt>
                <c:pt idx="163">
                  <c:v>892.35183016491351</c:v>
                </c:pt>
                <c:pt idx="164">
                  <c:v>881.90092940754141</c:v>
                </c:pt>
                <c:pt idx="165">
                  <c:v>826.83868859093218</c:v>
                </c:pt>
                <c:pt idx="166">
                  <c:v>807.06298935349525</c:v>
                </c:pt>
                <c:pt idx="167">
                  <c:v>713.3401728410181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1C-43CD-80F7-258F122601F3}"/>
            </c:ext>
          </c:extLst>
        </c:ser>
        <c:ser>
          <c:idx val="3"/>
          <c:order val="3"/>
          <c:tx>
            <c:strRef>
              <c:f>Pivot!$AM$3:$AM$4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Pivot!$AH$5:$AI$173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Pivot!$AM$5:$AM$173</c:f>
              <c:numCache>
                <c:formatCode>General</c:formatCode>
                <c:ptCount val="1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1C-43CD-80F7-258F12260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19680"/>
        <c:axId val="208627584"/>
      </c:lineChart>
      <c:catAx>
        <c:axId val="20861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7584"/>
        <c:crosses val="autoZero"/>
        <c:auto val="1"/>
        <c:lblAlgn val="ctr"/>
        <c:lblOffset val="100"/>
        <c:noMultiLvlLbl val="0"/>
      </c:catAx>
      <c:valAx>
        <c:axId val="2086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1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[masterMacro.xlsm]Pivot!PivotTable2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KPI 02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Pivot!$AQ$3:$AQ$4</c:f>
              <c:strCache>
                <c:ptCount val="1"/>
                <c:pt idx="0">
                  <c:v>Kucing</c:v>
                </c:pt>
              </c:strCache>
            </c:strRef>
          </c:tx>
          <c:marker>
            <c:symbol val="none"/>
          </c:marker>
          <c:cat>
            <c:multiLvlStrRef>
              <c:f>Pivot!$AO$5:$AP$173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Pivot!$AQ$5:$AQ$173</c:f>
              <c:numCache>
                <c:formatCode>General</c:formatCode>
                <c:ptCount val="168"/>
                <c:pt idx="0">
                  <c:v>92.677426003748479</c:v>
                </c:pt>
                <c:pt idx="1">
                  <c:v>92.340227688069632</c:v>
                </c:pt>
                <c:pt idx="2">
                  <c:v>91.393078325244616</c:v>
                </c:pt>
                <c:pt idx="3">
                  <c:v>91.492729080430976</c:v>
                </c:pt>
                <c:pt idx="4">
                  <c:v>91.231260488582564</c:v>
                </c:pt>
                <c:pt idx="5">
                  <c:v>90.440725079143718</c:v>
                </c:pt>
                <c:pt idx="6">
                  <c:v>89.56656942603712</c:v>
                </c:pt>
                <c:pt idx="7">
                  <c:v>90.268963145540113</c:v>
                </c:pt>
                <c:pt idx="8">
                  <c:v>91.263175159707316</c:v>
                </c:pt>
                <c:pt idx="9">
                  <c:v>91.63827506862043</c:v>
                </c:pt>
                <c:pt idx="10">
                  <c:v>91.36632337232713</c:v>
                </c:pt>
                <c:pt idx="11">
                  <c:v>91.640349189873916</c:v>
                </c:pt>
                <c:pt idx="12">
                  <c:v>92.41712163974195</c:v>
                </c:pt>
                <c:pt idx="13">
                  <c:v>92.797879897616696</c:v>
                </c:pt>
                <c:pt idx="14">
                  <c:v>93.085632150533499</c:v>
                </c:pt>
                <c:pt idx="15">
                  <c:v>92.510649334767024</c:v>
                </c:pt>
                <c:pt idx="16">
                  <c:v>92.496241317392176</c:v>
                </c:pt>
                <c:pt idx="17">
                  <c:v>92.662311203912992</c:v>
                </c:pt>
                <c:pt idx="18">
                  <c:v>91.894856448154798</c:v>
                </c:pt>
                <c:pt idx="19">
                  <c:v>91.586698268944758</c:v>
                </c:pt>
                <c:pt idx="20">
                  <c:v>91.379132976078807</c:v>
                </c:pt>
                <c:pt idx="21">
                  <c:v>90.537167752842024</c:v>
                </c:pt>
                <c:pt idx="22">
                  <c:v>90.333091200031191</c:v>
                </c:pt>
                <c:pt idx="23">
                  <c:v>89.866623985945893</c:v>
                </c:pt>
                <c:pt idx="24">
                  <c:v>89.388583562480775</c:v>
                </c:pt>
                <c:pt idx="25">
                  <c:v>88.960116221923016</c:v>
                </c:pt>
                <c:pt idx="26">
                  <c:v>88.908352695580973</c:v>
                </c:pt>
                <c:pt idx="27">
                  <c:v>89.377805402136602</c:v>
                </c:pt>
                <c:pt idx="28">
                  <c:v>89.331328513514919</c:v>
                </c:pt>
                <c:pt idx="29">
                  <c:v>89.182897674959634</c:v>
                </c:pt>
                <c:pt idx="30">
                  <c:v>88.983842706635997</c:v>
                </c:pt>
                <c:pt idx="31">
                  <c:v>88.91641306498137</c:v>
                </c:pt>
                <c:pt idx="32">
                  <c:v>88.959644102687363</c:v>
                </c:pt>
                <c:pt idx="33">
                  <c:v>88.38246819146832</c:v>
                </c:pt>
                <c:pt idx="34">
                  <c:v>88.810906038825181</c:v>
                </c:pt>
                <c:pt idx="35">
                  <c:v>88.967017634223879</c:v>
                </c:pt>
                <c:pt idx="36">
                  <c:v>88.04755673474213</c:v>
                </c:pt>
                <c:pt idx="37">
                  <c:v>87.612214897477244</c:v>
                </c:pt>
                <c:pt idx="38">
                  <c:v>88.09477842241364</c:v>
                </c:pt>
                <c:pt idx="39">
                  <c:v>87.709169821628308</c:v>
                </c:pt>
                <c:pt idx="40">
                  <c:v>88.329819933676404</c:v>
                </c:pt>
                <c:pt idx="41">
                  <c:v>88.909710638997055</c:v>
                </c:pt>
                <c:pt idx="42">
                  <c:v>88.55157573784625</c:v>
                </c:pt>
                <c:pt idx="43">
                  <c:v>88.336821612655726</c:v>
                </c:pt>
                <c:pt idx="44">
                  <c:v>89.253863978208344</c:v>
                </c:pt>
                <c:pt idx="45">
                  <c:v>88.683220018887809</c:v>
                </c:pt>
                <c:pt idx="46">
                  <c:v>88.517289791481758</c:v>
                </c:pt>
                <c:pt idx="47">
                  <c:v>88.606414786126038</c:v>
                </c:pt>
                <c:pt idx="48">
                  <c:v>88.874977436817247</c:v>
                </c:pt>
                <c:pt idx="49">
                  <c:v>89.521427861600998</c:v>
                </c:pt>
                <c:pt idx="50">
                  <c:v>88.724282031265787</c:v>
                </c:pt>
                <c:pt idx="51">
                  <c:v>87.889747549059905</c:v>
                </c:pt>
                <c:pt idx="52">
                  <c:v>87.693752030959061</c:v>
                </c:pt>
                <c:pt idx="53">
                  <c:v>87.778627560455433</c:v>
                </c:pt>
                <c:pt idx="54">
                  <c:v>87.577544251739468</c:v>
                </c:pt>
                <c:pt idx="55">
                  <c:v>86.722824544378469</c:v>
                </c:pt>
                <c:pt idx="56">
                  <c:v>86.158133513201861</c:v>
                </c:pt>
                <c:pt idx="57">
                  <c:v>86.282026851981783</c:v>
                </c:pt>
                <c:pt idx="58">
                  <c:v>85.810393727096681</c:v>
                </c:pt>
                <c:pt idx="59">
                  <c:v>86.320987688778445</c:v>
                </c:pt>
                <c:pt idx="60">
                  <c:v>86.426453789818424</c:v>
                </c:pt>
                <c:pt idx="61">
                  <c:v>86.691072395530185</c:v>
                </c:pt>
                <c:pt idx="62">
                  <c:v>85.800368044644216</c:v>
                </c:pt>
                <c:pt idx="63">
                  <c:v>86.672122670203393</c:v>
                </c:pt>
                <c:pt idx="64">
                  <c:v>87.408559235854028</c:v>
                </c:pt>
                <c:pt idx="65">
                  <c:v>87.798822230464722</c:v>
                </c:pt>
                <c:pt idx="66">
                  <c:v>87.01998811425895</c:v>
                </c:pt>
                <c:pt idx="67">
                  <c:v>86.193556573527658</c:v>
                </c:pt>
                <c:pt idx="68">
                  <c:v>85.854668353180557</c:v>
                </c:pt>
                <c:pt idx="69">
                  <c:v>86.580056831874757</c:v>
                </c:pt>
                <c:pt idx="70">
                  <c:v>85.699770935622922</c:v>
                </c:pt>
                <c:pt idx="71">
                  <c:v>85.45810261714233</c:v>
                </c:pt>
                <c:pt idx="72">
                  <c:v>84.573474557373103</c:v>
                </c:pt>
                <c:pt idx="73">
                  <c:v>84.174840766114826</c:v>
                </c:pt>
                <c:pt idx="74">
                  <c:v>83.357714637331597</c:v>
                </c:pt>
                <c:pt idx="75">
                  <c:v>84.20270458405993</c:v>
                </c:pt>
                <c:pt idx="76">
                  <c:v>84.005322201736973</c:v>
                </c:pt>
                <c:pt idx="77">
                  <c:v>84.143437209794115</c:v>
                </c:pt>
                <c:pt idx="78">
                  <c:v>85.002727827437454</c:v>
                </c:pt>
                <c:pt idx="79">
                  <c:v>85.27851649035911</c:v>
                </c:pt>
                <c:pt idx="80">
                  <c:v>85.014420401031558</c:v>
                </c:pt>
                <c:pt idx="81">
                  <c:v>84.358076449207061</c:v>
                </c:pt>
                <c:pt idx="82">
                  <c:v>84.062217006717276</c:v>
                </c:pt>
                <c:pt idx="83">
                  <c:v>84.803517682586431</c:v>
                </c:pt>
                <c:pt idx="84">
                  <c:v>84.87627667168158</c:v>
                </c:pt>
                <c:pt idx="85">
                  <c:v>85.329595718617114</c:v>
                </c:pt>
                <c:pt idx="86">
                  <c:v>85.455303916068985</c:v>
                </c:pt>
                <c:pt idx="87">
                  <c:v>86.336114685397121</c:v>
                </c:pt>
                <c:pt idx="88">
                  <c:v>87.200356200026491</c:v>
                </c:pt>
                <c:pt idx="89">
                  <c:v>86.900917318769203</c:v>
                </c:pt>
                <c:pt idx="90">
                  <c:v>86.91872797345907</c:v>
                </c:pt>
                <c:pt idx="91">
                  <c:v>87.567412897594167</c:v>
                </c:pt>
                <c:pt idx="92">
                  <c:v>86.687331546968664</c:v>
                </c:pt>
                <c:pt idx="93">
                  <c:v>85.763928777437258</c:v>
                </c:pt>
                <c:pt idx="94">
                  <c:v>85.196941165583667</c:v>
                </c:pt>
                <c:pt idx="95">
                  <c:v>85.272782980196908</c:v>
                </c:pt>
                <c:pt idx="96">
                  <c:v>84.822558810876671</c:v>
                </c:pt>
                <c:pt idx="97">
                  <c:v>85.413386385218402</c:v>
                </c:pt>
                <c:pt idx="98">
                  <c:v>85.689794045805769</c:v>
                </c:pt>
                <c:pt idx="99">
                  <c:v>84.971045788943186</c:v>
                </c:pt>
                <c:pt idx="100">
                  <c:v>84.664286585547856</c:v>
                </c:pt>
                <c:pt idx="101">
                  <c:v>84.391560257198847</c:v>
                </c:pt>
                <c:pt idx="102">
                  <c:v>84.792335118522743</c:v>
                </c:pt>
                <c:pt idx="103">
                  <c:v>83.994692897390507</c:v>
                </c:pt>
                <c:pt idx="104">
                  <c:v>84.263520292667749</c:v>
                </c:pt>
                <c:pt idx="105">
                  <c:v>83.845725178179549</c:v>
                </c:pt>
                <c:pt idx="106">
                  <c:v>84.570464265421009</c:v>
                </c:pt>
                <c:pt idx="107">
                  <c:v>83.931481994218231</c:v>
                </c:pt>
                <c:pt idx="108">
                  <c:v>82.995027820107182</c:v>
                </c:pt>
                <c:pt idx="109">
                  <c:v>83.221977702468337</c:v>
                </c:pt>
                <c:pt idx="110">
                  <c:v>83.875935325969081</c:v>
                </c:pt>
                <c:pt idx="111">
                  <c:v>83.798593906067069</c:v>
                </c:pt>
                <c:pt idx="112">
                  <c:v>83.328235197810116</c:v>
                </c:pt>
                <c:pt idx="113">
                  <c:v>83.424904413151239</c:v>
                </c:pt>
                <c:pt idx="114">
                  <c:v>83.839233835490987</c:v>
                </c:pt>
                <c:pt idx="115">
                  <c:v>83.038101725751403</c:v>
                </c:pt>
                <c:pt idx="116">
                  <c:v>83.379410870776411</c:v>
                </c:pt>
                <c:pt idx="117">
                  <c:v>83.773629638786758</c:v>
                </c:pt>
                <c:pt idx="118">
                  <c:v>83.018380384242121</c:v>
                </c:pt>
                <c:pt idx="119">
                  <c:v>83.949369594762388</c:v>
                </c:pt>
                <c:pt idx="120">
                  <c:v>84.260073751620425</c:v>
                </c:pt>
                <c:pt idx="121">
                  <c:v>83.30541029612327</c:v>
                </c:pt>
                <c:pt idx="122">
                  <c:v>82.894092665778842</c:v>
                </c:pt>
                <c:pt idx="123">
                  <c:v>82.074188435108425</c:v>
                </c:pt>
                <c:pt idx="124">
                  <c:v>83.066781302740068</c:v>
                </c:pt>
                <c:pt idx="125">
                  <c:v>82.913702863763177</c:v>
                </c:pt>
                <c:pt idx="126">
                  <c:v>83.320849122156815</c:v>
                </c:pt>
                <c:pt idx="127">
                  <c:v>82.702807070389113</c:v>
                </c:pt>
                <c:pt idx="128">
                  <c:v>82.078473255809683</c:v>
                </c:pt>
                <c:pt idx="129">
                  <c:v>82.686939535897608</c:v>
                </c:pt>
                <c:pt idx="130">
                  <c:v>81.778942449822566</c:v>
                </c:pt>
                <c:pt idx="131">
                  <c:v>82.40050033936906</c:v>
                </c:pt>
                <c:pt idx="132">
                  <c:v>83.356093234212636</c:v>
                </c:pt>
                <c:pt idx="133">
                  <c:v>84.274008789963688</c:v>
                </c:pt>
                <c:pt idx="134">
                  <c:v>84.730555703613561</c:v>
                </c:pt>
                <c:pt idx="135">
                  <c:v>85.051511242675858</c:v>
                </c:pt>
                <c:pt idx="136">
                  <c:v>84.471904735784292</c:v>
                </c:pt>
                <c:pt idx="137">
                  <c:v>84.003071343048035</c:v>
                </c:pt>
                <c:pt idx="138">
                  <c:v>83.807636876690822</c:v>
                </c:pt>
                <c:pt idx="139">
                  <c:v>83.251464150908674</c:v>
                </c:pt>
                <c:pt idx="140">
                  <c:v>83.674939982557945</c:v>
                </c:pt>
                <c:pt idx="141">
                  <c:v>84.137802995926478</c:v>
                </c:pt>
                <c:pt idx="142">
                  <c:v>84.92991218876216</c:v>
                </c:pt>
                <c:pt idx="143">
                  <c:v>84.156424487897382</c:v>
                </c:pt>
                <c:pt idx="144">
                  <c:v>83.614203304915378</c:v>
                </c:pt>
                <c:pt idx="145">
                  <c:v>83.633874041700722</c:v>
                </c:pt>
                <c:pt idx="146">
                  <c:v>84.414748778488203</c:v>
                </c:pt>
                <c:pt idx="147">
                  <c:v>85.400907834822533</c:v>
                </c:pt>
                <c:pt idx="148">
                  <c:v>85.521725864497526</c:v>
                </c:pt>
                <c:pt idx="149">
                  <c:v>84.588182123038322</c:v>
                </c:pt>
                <c:pt idx="150">
                  <c:v>85.569553039656071</c:v>
                </c:pt>
                <c:pt idx="151">
                  <c:v>84.980487578334191</c:v>
                </c:pt>
                <c:pt idx="152">
                  <c:v>85.575602839064842</c:v>
                </c:pt>
                <c:pt idx="153">
                  <c:v>84.590559580248751</c:v>
                </c:pt>
                <c:pt idx="154">
                  <c:v>84.281786772651884</c:v>
                </c:pt>
                <c:pt idx="155">
                  <c:v>85.240217951041785</c:v>
                </c:pt>
                <c:pt idx="156">
                  <c:v>85.479954342055237</c:v>
                </c:pt>
                <c:pt idx="157">
                  <c:v>85.990364025014841</c:v>
                </c:pt>
                <c:pt idx="158">
                  <c:v>86.649473964037128</c:v>
                </c:pt>
                <c:pt idx="159">
                  <c:v>86.380456117786892</c:v>
                </c:pt>
                <c:pt idx="160">
                  <c:v>86.143901762308928</c:v>
                </c:pt>
                <c:pt idx="161">
                  <c:v>86.001144447756914</c:v>
                </c:pt>
                <c:pt idx="162">
                  <c:v>86.175326138840717</c:v>
                </c:pt>
                <c:pt idx="163">
                  <c:v>86.666829342472454</c:v>
                </c:pt>
                <c:pt idx="164">
                  <c:v>86.249960014380335</c:v>
                </c:pt>
                <c:pt idx="165">
                  <c:v>85.75018148354458</c:v>
                </c:pt>
                <c:pt idx="166">
                  <c:v>85.627344606028004</c:v>
                </c:pt>
                <c:pt idx="167">
                  <c:v>85.621513800736977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A2-4224-9208-DFEB7353597C}"/>
            </c:ext>
          </c:extLst>
        </c:ser>
        <c:ser>
          <c:idx val="1"/>
          <c:order val="1"/>
          <c:tx>
            <c:strRef>
              <c:f>Pivot!$AR$3:$AR$4</c:f>
              <c:strCache>
                <c:ptCount val="1"/>
                <c:pt idx="0">
                  <c:v>Macan</c:v>
                </c:pt>
              </c:strCache>
            </c:strRef>
          </c:tx>
          <c:marker>
            <c:symbol val="none"/>
          </c:marker>
          <c:cat>
            <c:multiLvlStrRef>
              <c:f>Pivot!$AO$5:$AP$173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Pivot!$AR$5:$AR$173</c:f>
              <c:numCache>
                <c:formatCode>General</c:formatCode>
                <c:ptCount val="168"/>
                <c:pt idx="0">
                  <c:v>85.582381793446601</c:v>
                </c:pt>
                <c:pt idx="1">
                  <c:v>84.775097885292709</c:v>
                </c:pt>
                <c:pt idx="2">
                  <c:v>85.456319297663512</c:v>
                </c:pt>
                <c:pt idx="3">
                  <c:v>85.46265770897233</c:v>
                </c:pt>
                <c:pt idx="4">
                  <c:v>85.717753896592356</c:v>
                </c:pt>
                <c:pt idx="5">
                  <c:v>86.170069226387739</c:v>
                </c:pt>
                <c:pt idx="6">
                  <c:v>86.794747036657142</c:v>
                </c:pt>
                <c:pt idx="7">
                  <c:v>86.295279741220256</c:v>
                </c:pt>
                <c:pt idx="8">
                  <c:v>87.145482784433341</c:v>
                </c:pt>
                <c:pt idx="9">
                  <c:v>87.097395444276174</c:v>
                </c:pt>
                <c:pt idx="10">
                  <c:v>86.877608980867407</c:v>
                </c:pt>
                <c:pt idx="11">
                  <c:v>86.594161070396737</c:v>
                </c:pt>
                <c:pt idx="12">
                  <c:v>85.675222763744301</c:v>
                </c:pt>
                <c:pt idx="13">
                  <c:v>86.22011755120414</c:v>
                </c:pt>
                <c:pt idx="14">
                  <c:v>86.312655319826462</c:v>
                </c:pt>
                <c:pt idx="15">
                  <c:v>86.616290457177186</c:v>
                </c:pt>
                <c:pt idx="16">
                  <c:v>87.542413048903214</c:v>
                </c:pt>
                <c:pt idx="17">
                  <c:v>87.552496477745976</c:v>
                </c:pt>
                <c:pt idx="18">
                  <c:v>88.165488941104527</c:v>
                </c:pt>
                <c:pt idx="19">
                  <c:v>87.917593774753584</c:v>
                </c:pt>
                <c:pt idx="20">
                  <c:v>87.117301601035095</c:v>
                </c:pt>
                <c:pt idx="21">
                  <c:v>87.748281405843017</c:v>
                </c:pt>
                <c:pt idx="22">
                  <c:v>87.048232752796181</c:v>
                </c:pt>
                <c:pt idx="23">
                  <c:v>86.654453657795514</c:v>
                </c:pt>
                <c:pt idx="24">
                  <c:v>87.299950643872947</c:v>
                </c:pt>
                <c:pt idx="25">
                  <c:v>87.308466460258316</c:v>
                </c:pt>
                <c:pt idx="26">
                  <c:v>87.369131731264375</c:v>
                </c:pt>
                <c:pt idx="27">
                  <c:v>86.435268481244961</c:v>
                </c:pt>
                <c:pt idx="28">
                  <c:v>86.488964932545912</c:v>
                </c:pt>
                <c:pt idx="29">
                  <c:v>86.237318863499155</c:v>
                </c:pt>
                <c:pt idx="30">
                  <c:v>85.545754122083579</c:v>
                </c:pt>
                <c:pt idx="31">
                  <c:v>85.722087420068988</c:v>
                </c:pt>
                <c:pt idx="32">
                  <c:v>86.370126223721357</c:v>
                </c:pt>
                <c:pt idx="33">
                  <c:v>85.422684375883151</c:v>
                </c:pt>
                <c:pt idx="34">
                  <c:v>84.704563648724601</c:v>
                </c:pt>
                <c:pt idx="35">
                  <c:v>84.301809491850676</c:v>
                </c:pt>
                <c:pt idx="36">
                  <c:v>84.122661272239526</c:v>
                </c:pt>
                <c:pt idx="37">
                  <c:v>84.744793593021242</c:v>
                </c:pt>
                <c:pt idx="38">
                  <c:v>84.233848482691144</c:v>
                </c:pt>
                <c:pt idx="39">
                  <c:v>83.687089545633555</c:v>
                </c:pt>
                <c:pt idx="40">
                  <c:v>84.423057152622135</c:v>
                </c:pt>
                <c:pt idx="41">
                  <c:v>84.92476469143331</c:v>
                </c:pt>
                <c:pt idx="42">
                  <c:v>85.570937736485135</c:v>
                </c:pt>
                <c:pt idx="43">
                  <c:v>84.755806920569398</c:v>
                </c:pt>
                <c:pt idx="44">
                  <c:v>84.01156564261349</c:v>
                </c:pt>
                <c:pt idx="45">
                  <c:v>84.266887991762417</c:v>
                </c:pt>
                <c:pt idx="46">
                  <c:v>83.72789847640739</c:v>
                </c:pt>
                <c:pt idx="47">
                  <c:v>83.751112284674292</c:v>
                </c:pt>
                <c:pt idx="48">
                  <c:v>83.256091856926659</c:v>
                </c:pt>
                <c:pt idx="49">
                  <c:v>83.616706854584464</c:v>
                </c:pt>
                <c:pt idx="50">
                  <c:v>83.568053884911436</c:v>
                </c:pt>
                <c:pt idx="51">
                  <c:v>83.765477798333407</c:v>
                </c:pt>
                <c:pt idx="52">
                  <c:v>83.221289828609287</c:v>
                </c:pt>
                <c:pt idx="53">
                  <c:v>82.234597207127649</c:v>
                </c:pt>
                <c:pt idx="54">
                  <c:v>82.584473593051271</c:v>
                </c:pt>
                <c:pt idx="55">
                  <c:v>81.935940359582446</c:v>
                </c:pt>
                <c:pt idx="56">
                  <c:v>81.949241694695672</c:v>
                </c:pt>
                <c:pt idx="57">
                  <c:v>81.274506355091688</c:v>
                </c:pt>
                <c:pt idx="58">
                  <c:v>82.074174988583763</c:v>
                </c:pt>
                <c:pt idx="59">
                  <c:v>82.2385413486587</c:v>
                </c:pt>
                <c:pt idx="60">
                  <c:v>82.115137632028919</c:v>
                </c:pt>
                <c:pt idx="61">
                  <c:v>81.387340152094765</c:v>
                </c:pt>
                <c:pt idx="62">
                  <c:v>80.688615904282415</c:v>
                </c:pt>
                <c:pt idx="63">
                  <c:v>81.071288579473688</c:v>
                </c:pt>
                <c:pt idx="64">
                  <c:v>81.653359179231458</c:v>
                </c:pt>
                <c:pt idx="65">
                  <c:v>80.876223951005045</c:v>
                </c:pt>
                <c:pt idx="66">
                  <c:v>81.041391208114192</c:v>
                </c:pt>
                <c:pt idx="67">
                  <c:v>80.540196697753544</c:v>
                </c:pt>
                <c:pt idx="68">
                  <c:v>80.560113288846665</c:v>
                </c:pt>
                <c:pt idx="69">
                  <c:v>80.903718021302069</c:v>
                </c:pt>
                <c:pt idx="70">
                  <c:v>81.87215729267929</c:v>
                </c:pt>
                <c:pt idx="71">
                  <c:v>81.439933233731452</c:v>
                </c:pt>
                <c:pt idx="72">
                  <c:v>81.276704838492932</c:v>
                </c:pt>
                <c:pt idx="73">
                  <c:v>80.632852788021907</c:v>
                </c:pt>
                <c:pt idx="74">
                  <c:v>81.526584119008461</c:v>
                </c:pt>
                <c:pt idx="75">
                  <c:v>80.814882820579186</c:v>
                </c:pt>
                <c:pt idx="76">
                  <c:v>81.334190439159187</c:v>
                </c:pt>
                <c:pt idx="77">
                  <c:v>80.504572598785515</c:v>
                </c:pt>
                <c:pt idx="78">
                  <c:v>80.686443775322886</c:v>
                </c:pt>
                <c:pt idx="79">
                  <c:v>81.467819814664622</c:v>
                </c:pt>
                <c:pt idx="80">
                  <c:v>82.115872925875081</c:v>
                </c:pt>
                <c:pt idx="81">
                  <c:v>82.262583296100416</c:v>
                </c:pt>
                <c:pt idx="82">
                  <c:v>82.758509599733756</c:v>
                </c:pt>
                <c:pt idx="83">
                  <c:v>82.886901252302692</c:v>
                </c:pt>
                <c:pt idx="84">
                  <c:v>82.793657624703982</c:v>
                </c:pt>
                <c:pt idx="85">
                  <c:v>83.783223369974365</c:v>
                </c:pt>
                <c:pt idx="86">
                  <c:v>83.855652803248319</c:v>
                </c:pt>
                <c:pt idx="87">
                  <c:v>84.238161775868392</c:v>
                </c:pt>
                <c:pt idx="88">
                  <c:v>84.090981180705256</c:v>
                </c:pt>
                <c:pt idx="89">
                  <c:v>83.984642119695224</c:v>
                </c:pt>
                <c:pt idx="90">
                  <c:v>83.51825772655846</c:v>
                </c:pt>
                <c:pt idx="91">
                  <c:v>82.608177326410868</c:v>
                </c:pt>
                <c:pt idx="92">
                  <c:v>81.738043096184541</c:v>
                </c:pt>
                <c:pt idx="93">
                  <c:v>81.600634266441432</c:v>
                </c:pt>
                <c:pt idx="94">
                  <c:v>81.6205609571888</c:v>
                </c:pt>
                <c:pt idx="95">
                  <c:v>82.225301539854925</c:v>
                </c:pt>
                <c:pt idx="96">
                  <c:v>82.138712906606102</c:v>
                </c:pt>
                <c:pt idx="97">
                  <c:v>81.269323551901181</c:v>
                </c:pt>
                <c:pt idx="98">
                  <c:v>81.607305221544365</c:v>
                </c:pt>
                <c:pt idx="99">
                  <c:v>81.272433681539098</c:v>
                </c:pt>
                <c:pt idx="100">
                  <c:v>82.107413830450739</c:v>
                </c:pt>
                <c:pt idx="101">
                  <c:v>81.543990528528084</c:v>
                </c:pt>
                <c:pt idx="102">
                  <c:v>80.646459292032091</c:v>
                </c:pt>
                <c:pt idx="103">
                  <c:v>80.888941299048042</c:v>
                </c:pt>
                <c:pt idx="104">
                  <c:v>81.80014335861577</c:v>
                </c:pt>
                <c:pt idx="105">
                  <c:v>80.852938774565416</c:v>
                </c:pt>
                <c:pt idx="106">
                  <c:v>80.946860456184567</c:v>
                </c:pt>
                <c:pt idx="107">
                  <c:v>81.654266231244847</c:v>
                </c:pt>
                <c:pt idx="108">
                  <c:v>80.720319099253118</c:v>
                </c:pt>
                <c:pt idx="109">
                  <c:v>80.96868769015903</c:v>
                </c:pt>
                <c:pt idx="110">
                  <c:v>81.240977736501918</c:v>
                </c:pt>
                <c:pt idx="111">
                  <c:v>81.202840620479193</c:v>
                </c:pt>
                <c:pt idx="112">
                  <c:v>81.732030543094467</c:v>
                </c:pt>
                <c:pt idx="113">
                  <c:v>81.761888680372408</c:v>
                </c:pt>
                <c:pt idx="114">
                  <c:v>81.492578655218935</c:v>
                </c:pt>
                <c:pt idx="115">
                  <c:v>81.691827154661482</c:v>
                </c:pt>
                <c:pt idx="116">
                  <c:v>81.767911583722835</c:v>
                </c:pt>
                <c:pt idx="117">
                  <c:v>81.604451172176283</c:v>
                </c:pt>
                <c:pt idx="118">
                  <c:v>81.092931242462839</c:v>
                </c:pt>
                <c:pt idx="119">
                  <c:v>81.465273621373555</c:v>
                </c:pt>
                <c:pt idx="120">
                  <c:v>81.606885661303693</c:v>
                </c:pt>
                <c:pt idx="121">
                  <c:v>80.901959772107986</c:v>
                </c:pt>
                <c:pt idx="122">
                  <c:v>81.179282497982371</c:v>
                </c:pt>
                <c:pt idx="123">
                  <c:v>81.620426161155152</c:v>
                </c:pt>
                <c:pt idx="124">
                  <c:v>81.848212170427374</c:v>
                </c:pt>
                <c:pt idx="125">
                  <c:v>82.135221473885778</c:v>
                </c:pt>
                <c:pt idx="126">
                  <c:v>82.607086961080725</c:v>
                </c:pt>
                <c:pt idx="127">
                  <c:v>81.838667516894802</c:v>
                </c:pt>
                <c:pt idx="128">
                  <c:v>80.86882650147885</c:v>
                </c:pt>
                <c:pt idx="129">
                  <c:v>81.331444185026371</c:v>
                </c:pt>
                <c:pt idx="130">
                  <c:v>80.579265474238611</c:v>
                </c:pt>
                <c:pt idx="131">
                  <c:v>80.894131043730638</c:v>
                </c:pt>
                <c:pt idx="132">
                  <c:v>81.568548954114192</c:v>
                </c:pt>
                <c:pt idx="133">
                  <c:v>81.325499580833267</c:v>
                </c:pt>
                <c:pt idx="134">
                  <c:v>80.836945141152853</c:v>
                </c:pt>
                <c:pt idx="135">
                  <c:v>81.657580263028422</c:v>
                </c:pt>
                <c:pt idx="136">
                  <c:v>81.078161019471096</c:v>
                </c:pt>
                <c:pt idx="137">
                  <c:v>80.869818774832552</c:v>
                </c:pt>
                <c:pt idx="138">
                  <c:v>81.671052334866943</c:v>
                </c:pt>
                <c:pt idx="139">
                  <c:v>81.133782183071531</c:v>
                </c:pt>
                <c:pt idx="140">
                  <c:v>80.35427666417398</c:v>
                </c:pt>
                <c:pt idx="141">
                  <c:v>81.341809351364049</c:v>
                </c:pt>
                <c:pt idx="142">
                  <c:v>82.100275784359042</c:v>
                </c:pt>
                <c:pt idx="143">
                  <c:v>82.29328717597221</c:v>
                </c:pt>
                <c:pt idx="144">
                  <c:v>82.277842272893878</c:v>
                </c:pt>
                <c:pt idx="145">
                  <c:v>81.545547939756005</c:v>
                </c:pt>
                <c:pt idx="146">
                  <c:v>81.389462607124898</c:v>
                </c:pt>
                <c:pt idx="147">
                  <c:v>80.728639219462536</c:v>
                </c:pt>
                <c:pt idx="148">
                  <c:v>81.676058006857204</c:v>
                </c:pt>
                <c:pt idx="149">
                  <c:v>82.445284634327848</c:v>
                </c:pt>
                <c:pt idx="150">
                  <c:v>82.265801315586259</c:v>
                </c:pt>
                <c:pt idx="151">
                  <c:v>82.477214729012772</c:v>
                </c:pt>
                <c:pt idx="152">
                  <c:v>82.436315616844553</c:v>
                </c:pt>
                <c:pt idx="153">
                  <c:v>82.841613334009693</c:v>
                </c:pt>
                <c:pt idx="154">
                  <c:v>82.816302222133373</c:v>
                </c:pt>
                <c:pt idx="155">
                  <c:v>83.738868707223759</c:v>
                </c:pt>
                <c:pt idx="156">
                  <c:v>83.542509233205337</c:v>
                </c:pt>
                <c:pt idx="157">
                  <c:v>84.302849908081271</c:v>
                </c:pt>
                <c:pt idx="158">
                  <c:v>84.471226679067271</c:v>
                </c:pt>
                <c:pt idx="159">
                  <c:v>84.947812527100723</c:v>
                </c:pt>
                <c:pt idx="160">
                  <c:v>85.576793199178013</c:v>
                </c:pt>
                <c:pt idx="161">
                  <c:v>86.068571016610989</c:v>
                </c:pt>
                <c:pt idx="162">
                  <c:v>86.841953006471599</c:v>
                </c:pt>
                <c:pt idx="163">
                  <c:v>87.101107511099315</c:v>
                </c:pt>
                <c:pt idx="164">
                  <c:v>87.323579532358409</c:v>
                </c:pt>
                <c:pt idx="165">
                  <c:v>86.349021148908676</c:v>
                </c:pt>
                <c:pt idx="166">
                  <c:v>86.657382394994968</c:v>
                </c:pt>
                <c:pt idx="167">
                  <c:v>86.222493676867543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A2-4224-9208-DFEB7353597C}"/>
            </c:ext>
          </c:extLst>
        </c:ser>
        <c:ser>
          <c:idx val="2"/>
          <c:order val="2"/>
          <c:tx>
            <c:strRef>
              <c:f>Pivot!$AS$3:$AS$4</c:f>
              <c:strCache>
                <c:ptCount val="1"/>
                <c:pt idx="0">
                  <c:v>Pinguin</c:v>
                </c:pt>
              </c:strCache>
            </c:strRef>
          </c:tx>
          <c:marker>
            <c:symbol val="none"/>
          </c:marker>
          <c:cat>
            <c:multiLvlStrRef>
              <c:f>Pivot!$AO$5:$AP$173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Pivot!$AS$5:$AS$173</c:f>
              <c:numCache>
                <c:formatCode>General</c:formatCode>
                <c:ptCount val="168"/>
                <c:pt idx="0">
                  <c:v>85.838059742120805</c:v>
                </c:pt>
                <c:pt idx="1">
                  <c:v>85.983018012514691</c:v>
                </c:pt>
                <c:pt idx="2">
                  <c:v>86.259886870572274</c:v>
                </c:pt>
                <c:pt idx="3">
                  <c:v>87.254093849776211</c:v>
                </c:pt>
                <c:pt idx="4">
                  <c:v>87.578522047142229</c:v>
                </c:pt>
                <c:pt idx="5">
                  <c:v>87.501551417517163</c:v>
                </c:pt>
                <c:pt idx="6">
                  <c:v>87.876852666470398</c:v>
                </c:pt>
                <c:pt idx="7">
                  <c:v>88.25284825902709</c:v>
                </c:pt>
                <c:pt idx="8">
                  <c:v>87.462090789626799</c:v>
                </c:pt>
                <c:pt idx="9">
                  <c:v>87.721841313348008</c:v>
                </c:pt>
                <c:pt idx="10">
                  <c:v>87.624738172947175</c:v>
                </c:pt>
                <c:pt idx="11">
                  <c:v>87.241119038880441</c:v>
                </c:pt>
                <c:pt idx="12">
                  <c:v>87.880156344649521</c:v>
                </c:pt>
                <c:pt idx="13">
                  <c:v>87.763552533469323</c:v>
                </c:pt>
                <c:pt idx="14">
                  <c:v>87.029888752966258</c:v>
                </c:pt>
                <c:pt idx="15">
                  <c:v>87.743897298824749</c:v>
                </c:pt>
                <c:pt idx="16">
                  <c:v>86.74750950431816</c:v>
                </c:pt>
                <c:pt idx="17">
                  <c:v>86.946285739280881</c:v>
                </c:pt>
                <c:pt idx="18">
                  <c:v>86.769959286268019</c:v>
                </c:pt>
                <c:pt idx="19">
                  <c:v>87.720487106818837</c:v>
                </c:pt>
                <c:pt idx="20">
                  <c:v>88.569131835075197</c:v>
                </c:pt>
                <c:pt idx="21">
                  <c:v>89.241434834275466</c:v>
                </c:pt>
                <c:pt idx="22">
                  <c:v>88.435325302681846</c:v>
                </c:pt>
                <c:pt idx="23">
                  <c:v>87.57961640187898</c:v>
                </c:pt>
                <c:pt idx="24">
                  <c:v>87.649808882812394</c:v>
                </c:pt>
                <c:pt idx="25">
                  <c:v>87.888282825967295</c:v>
                </c:pt>
                <c:pt idx="26">
                  <c:v>88.613655180636883</c:v>
                </c:pt>
                <c:pt idx="27">
                  <c:v>88.789218546783829</c:v>
                </c:pt>
                <c:pt idx="28">
                  <c:v>89.589646968984994</c:v>
                </c:pt>
                <c:pt idx="29">
                  <c:v>89.889387537024589</c:v>
                </c:pt>
                <c:pt idx="30">
                  <c:v>89.079091201419843</c:v>
                </c:pt>
                <c:pt idx="31">
                  <c:v>89.194472635888403</c:v>
                </c:pt>
                <c:pt idx="32">
                  <c:v>89.676282350653779</c:v>
                </c:pt>
                <c:pt idx="33">
                  <c:v>89.034909114540497</c:v>
                </c:pt>
                <c:pt idx="34">
                  <c:v>89.893822718102413</c:v>
                </c:pt>
                <c:pt idx="35">
                  <c:v>90.440483873692315</c:v>
                </c:pt>
                <c:pt idx="36">
                  <c:v>90.711396663762073</c:v>
                </c:pt>
                <c:pt idx="37">
                  <c:v>90.891053234690162</c:v>
                </c:pt>
                <c:pt idx="38">
                  <c:v>90.99305814572476</c:v>
                </c:pt>
                <c:pt idx="39">
                  <c:v>91.826025221881082</c:v>
                </c:pt>
                <c:pt idx="40">
                  <c:v>91.555161586691781</c:v>
                </c:pt>
                <c:pt idx="41">
                  <c:v>91.735312358275891</c:v>
                </c:pt>
                <c:pt idx="42">
                  <c:v>91.227980157966144</c:v>
                </c:pt>
                <c:pt idx="43">
                  <c:v>90.651257135610976</c:v>
                </c:pt>
                <c:pt idx="44">
                  <c:v>90.205219366375232</c:v>
                </c:pt>
                <c:pt idx="45">
                  <c:v>90.531730856002582</c:v>
                </c:pt>
                <c:pt idx="46">
                  <c:v>89.982543581166198</c:v>
                </c:pt>
                <c:pt idx="47">
                  <c:v>89.582686436930317</c:v>
                </c:pt>
                <c:pt idx="48">
                  <c:v>89.115346903691034</c:v>
                </c:pt>
                <c:pt idx="49">
                  <c:v>88.935259664880306</c:v>
                </c:pt>
                <c:pt idx="50">
                  <c:v>88.705548059038478</c:v>
                </c:pt>
                <c:pt idx="51">
                  <c:v>89.286943138667439</c:v>
                </c:pt>
                <c:pt idx="52">
                  <c:v>90.04230702075408</c:v>
                </c:pt>
                <c:pt idx="53">
                  <c:v>90.647335150246462</c:v>
                </c:pt>
                <c:pt idx="54">
                  <c:v>91.633746950211005</c:v>
                </c:pt>
                <c:pt idx="55">
                  <c:v>92.339341977649397</c:v>
                </c:pt>
                <c:pt idx="56">
                  <c:v>93.085466878288827</c:v>
                </c:pt>
                <c:pt idx="57">
                  <c:v>94.041390627711522</c:v>
                </c:pt>
                <c:pt idx="58">
                  <c:v>93.775699612410818</c:v>
                </c:pt>
                <c:pt idx="59">
                  <c:v>92.837902098952412</c:v>
                </c:pt>
                <c:pt idx="60">
                  <c:v>93.349639571355951</c:v>
                </c:pt>
                <c:pt idx="61">
                  <c:v>94.089499306632277</c:v>
                </c:pt>
                <c:pt idx="62">
                  <c:v>94.575308361501328</c:v>
                </c:pt>
                <c:pt idx="63">
                  <c:v>95.395358145879158</c:v>
                </c:pt>
                <c:pt idx="64">
                  <c:v>94.851566309398038</c:v>
                </c:pt>
                <c:pt idx="65">
                  <c:v>94.826513485554543</c:v>
                </c:pt>
                <c:pt idx="66">
                  <c:v>94.015425998320154</c:v>
                </c:pt>
                <c:pt idx="67">
                  <c:v>93.613732303774114</c:v>
                </c:pt>
                <c:pt idx="68">
                  <c:v>93.300531379474506</c:v>
                </c:pt>
                <c:pt idx="69">
                  <c:v>93.096865232067714</c:v>
                </c:pt>
                <c:pt idx="70">
                  <c:v>93.3581774076832</c:v>
                </c:pt>
                <c:pt idx="71">
                  <c:v>93.583264052982514</c:v>
                </c:pt>
                <c:pt idx="72">
                  <c:v>94.303916883000909</c:v>
                </c:pt>
                <c:pt idx="73">
                  <c:v>93.714313664093481</c:v>
                </c:pt>
                <c:pt idx="74">
                  <c:v>94.231894139034907</c:v>
                </c:pt>
                <c:pt idx="75">
                  <c:v>94.439508657712565</c:v>
                </c:pt>
                <c:pt idx="76">
                  <c:v>94.030270898730819</c:v>
                </c:pt>
                <c:pt idx="77">
                  <c:v>93.571939364073259</c:v>
                </c:pt>
                <c:pt idx="78">
                  <c:v>94.372431712235894</c:v>
                </c:pt>
                <c:pt idx="79">
                  <c:v>93.666227318715187</c:v>
                </c:pt>
                <c:pt idx="80">
                  <c:v>93.962014937991555</c:v>
                </c:pt>
                <c:pt idx="81">
                  <c:v>94.347298564473178</c:v>
                </c:pt>
                <c:pt idx="82">
                  <c:v>95.07270478686641</c:v>
                </c:pt>
                <c:pt idx="83">
                  <c:v>95.932771535160668</c:v>
                </c:pt>
                <c:pt idx="84">
                  <c:v>95.733265501355575</c:v>
                </c:pt>
                <c:pt idx="85">
                  <c:v>95.706875885746683</c:v>
                </c:pt>
                <c:pt idx="86">
                  <c:v>94.837205325092185</c:v>
                </c:pt>
                <c:pt idx="87">
                  <c:v>95.304495405977889</c:v>
                </c:pt>
                <c:pt idx="88">
                  <c:v>94.599081041015722</c:v>
                </c:pt>
                <c:pt idx="89">
                  <c:v>94.468192848609249</c:v>
                </c:pt>
                <c:pt idx="90">
                  <c:v>93.788997570179916</c:v>
                </c:pt>
                <c:pt idx="91">
                  <c:v>92.837934974365879</c:v>
                </c:pt>
                <c:pt idx="92">
                  <c:v>92.797947750441452</c:v>
                </c:pt>
                <c:pt idx="93">
                  <c:v>92.610925581135334</c:v>
                </c:pt>
                <c:pt idx="94">
                  <c:v>93.320071386072016</c:v>
                </c:pt>
                <c:pt idx="95">
                  <c:v>94.102589627692566</c:v>
                </c:pt>
                <c:pt idx="96">
                  <c:v>94.806892570484891</c:v>
                </c:pt>
                <c:pt idx="97">
                  <c:v>94.646925500403199</c:v>
                </c:pt>
                <c:pt idx="98">
                  <c:v>95.426683129554718</c:v>
                </c:pt>
                <c:pt idx="99">
                  <c:v>94.735807948666036</c:v>
                </c:pt>
                <c:pt idx="100">
                  <c:v>94.184312446301391</c:v>
                </c:pt>
                <c:pt idx="101">
                  <c:v>93.931144647875087</c:v>
                </c:pt>
                <c:pt idx="102">
                  <c:v>94.580449641021048</c:v>
                </c:pt>
                <c:pt idx="103">
                  <c:v>95.235951136874107</c:v>
                </c:pt>
                <c:pt idx="104">
                  <c:v>95.562674281157769</c:v>
                </c:pt>
                <c:pt idx="105">
                  <c:v>95.058479492269157</c:v>
                </c:pt>
                <c:pt idx="106">
                  <c:v>95.460073133398922</c:v>
                </c:pt>
                <c:pt idx="107">
                  <c:v>96.307023477216376</c:v>
                </c:pt>
                <c:pt idx="108">
                  <c:v>95.799199797811539</c:v>
                </c:pt>
                <c:pt idx="109">
                  <c:v>94.858389678898774</c:v>
                </c:pt>
                <c:pt idx="110">
                  <c:v>95.531900431104077</c:v>
                </c:pt>
                <c:pt idx="111">
                  <c:v>94.835201240159705</c:v>
                </c:pt>
                <c:pt idx="112">
                  <c:v>94.856887959136742</c:v>
                </c:pt>
                <c:pt idx="113">
                  <c:v>95.504562929476819</c:v>
                </c:pt>
                <c:pt idx="114">
                  <c:v>95.771977050773543</c:v>
                </c:pt>
                <c:pt idx="115">
                  <c:v>96.754986814562926</c:v>
                </c:pt>
                <c:pt idx="116">
                  <c:v>96.073254997276564</c:v>
                </c:pt>
                <c:pt idx="117">
                  <c:v>95.903059306651016</c:v>
                </c:pt>
                <c:pt idx="118">
                  <c:v>96.327602630078246</c:v>
                </c:pt>
                <c:pt idx="119">
                  <c:v>96.622221781545221</c:v>
                </c:pt>
                <c:pt idx="120">
                  <c:v>96.695528816236489</c:v>
                </c:pt>
                <c:pt idx="121">
                  <c:v>97.49498097369613</c:v>
                </c:pt>
                <c:pt idx="122">
                  <c:v>96.591888894263818</c:v>
                </c:pt>
                <c:pt idx="123">
                  <c:v>96.400149514330678</c:v>
                </c:pt>
                <c:pt idx="124">
                  <c:v>96.893758771705578</c:v>
                </c:pt>
                <c:pt idx="125">
                  <c:v>97.340575003275291</c:v>
                </c:pt>
                <c:pt idx="126">
                  <c:v>96.999714049610333</c:v>
                </c:pt>
                <c:pt idx="127">
                  <c:v>97.703720578874524</c:v>
                </c:pt>
                <c:pt idx="128">
                  <c:v>97.562805184458639</c:v>
                </c:pt>
                <c:pt idx="129">
                  <c:v>97.30814705918462</c:v>
                </c:pt>
                <c:pt idx="130">
                  <c:v>97.260438004794281</c:v>
                </c:pt>
                <c:pt idx="131">
                  <c:v>97.372082517518933</c:v>
                </c:pt>
                <c:pt idx="132">
                  <c:v>96.490788754815455</c:v>
                </c:pt>
                <c:pt idx="133">
                  <c:v>96.271146131963818</c:v>
                </c:pt>
                <c:pt idx="134">
                  <c:v>96.615379509305868</c:v>
                </c:pt>
                <c:pt idx="135">
                  <c:v>95.712353586712752</c:v>
                </c:pt>
                <c:pt idx="136">
                  <c:v>96.499846727226412</c:v>
                </c:pt>
                <c:pt idx="137">
                  <c:v>96.306079482300419</c:v>
                </c:pt>
                <c:pt idx="138">
                  <c:v>95.41460640620231</c:v>
                </c:pt>
                <c:pt idx="139">
                  <c:v>95.763394795563627</c:v>
                </c:pt>
                <c:pt idx="140">
                  <c:v>96.693820793101864</c:v>
                </c:pt>
                <c:pt idx="141">
                  <c:v>97.572897081070323</c:v>
                </c:pt>
                <c:pt idx="142">
                  <c:v>97.875163524284062</c:v>
                </c:pt>
                <c:pt idx="143">
                  <c:v>97.830829686228938</c:v>
                </c:pt>
                <c:pt idx="144">
                  <c:v>97.170017685308736</c:v>
                </c:pt>
                <c:pt idx="145">
                  <c:v>97.062512220987628</c:v>
                </c:pt>
                <c:pt idx="146">
                  <c:v>97.717076197486492</c:v>
                </c:pt>
                <c:pt idx="147">
                  <c:v>96.731312744613035</c:v>
                </c:pt>
                <c:pt idx="148">
                  <c:v>95.928970928469155</c:v>
                </c:pt>
                <c:pt idx="149">
                  <c:v>96.475912989803604</c:v>
                </c:pt>
                <c:pt idx="150">
                  <c:v>95.697974479243754</c:v>
                </c:pt>
                <c:pt idx="151">
                  <c:v>95.89415985325293</c:v>
                </c:pt>
                <c:pt idx="152">
                  <c:v>96.550701242358016</c:v>
                </c:pt>
                <c:pt idx="153">
                  <c:v>97.444637845783461</c:v>
                </c:pt>
                <c:pt idx="154">
                  <c:v>96.536970225327821</c:v>
                </c:pt>
                <c:pt idx="155">
                  <c:v>97.342850674329583</c:v>
                </c:pt>
                <c:pt idx="156">
                  <c:v>98.028644326998005</c:v>
                </c:pt>
                <c:pt idx="157">
                  <c:v>97.554402536424064</c:v>
                </c:pt>
                <c:pt idx="158">
                  <c:v>98.451806084524648</c:v>
                </c:pt>
                <c:pt idx="159">
                  <c:v>98.334522237734447</c:v>
                </c:pt>
                <c:pt idx="160">
                  <c:v>97.488410012378864</c:v>
                </c:pt>
                <c:pt idx="161">
                  <c:v>98.472630648698512</c:v>
                </c:pt>
                <c:pt idx="162">
                  <c:v>99.170352708379625</c:v>
                </c:pt>
                <c:pt idx="163">
                  <c:v>98.312138491331183</c:v>
                </c:pt>
                <c:pt idx="164">
                  <c:v>97.937378997532988</c:v>
                </c:pt>
                <c:pt idx="165">
                  <c:v>97.184493456123846</c:v>
                </c:pt>
                <c:pt idx="166">
                  <c:v>96.365261263559759</c:v>
                </c:pt>
                <c:pt idx="167">
                  <c:v>97.224657272519266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3A2-4224-9208-DFEB7353597C}"/>
            </c:ext>
          </c:extLst>
        </c:ser>
        <c:ser>
          <c:idx val="3"/>
          <c:order val="3"/>
          <c:tx>
            <c:strRef>
              <c:f>Pivot!$AT$3:$AT$4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Pivot!$AO$5:$AP$173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Pivot!$AT$5:$AT$173</c:f>
              <c:numCache>
                <c:formatCode>General</c:formatCode>
                <c:ptCount val="1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3A2-4224-9208-DFEB73535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19680"/>
        <c:axId val="208627584"/>
      </c:lineChart>
      <c:catAx>
        <c:axId val="20861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7584"/>
        <c:crosses val="autoZero"/>
        <c:auto val="1"/>
        <c:lblAlgn val="ctr"/>
        <c:lblOffset val="100"/>
        <c:noMultiLvlLbl val="0"/>
      </c:catAx>
      <c:valAx>
        <c:axId val="208627584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19680"/>
        <c:crosses val="autoZero"/>
        <c:crossBetween val="between"/>
      </c:valAx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[masterMacro.xlsm]Pivot!PivotTable3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KPI 03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Pivot!$AX$3:$AX$4</c:f>
              <c:strCache>
                <c:ptCount val="1"/>
                <c:pt idx="0">
                  <c:v>Kucing</c:v>
                </c:pt>
              </c:strCache>
            </c:strRef>
          </c:tx>
          <c:marker>
            <c:symbol val="none"/>
          </c:marker>
          <c:cat>
            <c:multiLvlStrRef>
              <c:f>Pivot!$AV$5:$AW$173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Pivot!$AX$5:$AX$173</c:f>
              <c:numCache>
                <c:formatCode>General</c:formatCode>
                <c:ptCount val="168"/>
                <c:pt idx="0">
                  <c:v>4.452721591877097</c:v>
                </c:pt>
                <c:pt idx="1">
                  <c:v>4.2277630099443018</c:v>
                </c:pt>
                <c:pt idx="2">
                  <c:v>3.9577905379387119</c:v>
                </c:pt>
                <c:pt idx="3">
                  <c:v>4.0052020274649731</c:v>
                </c:pt>
                <c:pt idx="4">
                  <c:v>4.216314279288131</c:v>
                </c:pt>
                <c:pt idx="5">
                  <c:v>4.0148846265642026</c:v>
                </c:pt>
                <c:pt idx="6">
                  <c:v>3.3931371487909914</c:v>
                </c:pt>
                <c:pt idx="7">
                  <c:v>3.0141400062858894</c:v>
                </c:pt>
                <c:pt idx="8">
                  <c:v>2.8727897182105355</c:v>
                </c:pt>
                <c:pt idx="9">
                  <c:v>3.6082736250739491</c:v>
                </c:pt>
                <c:pt idx="10">
                  <c:v>4.480536764580803</c:v>
                </c:pt>
                <c:pt idx="11">
                  <c:v>5.2281871580064667</c:v>
                </c:pt>
                <c:pt idx="12">
                  <c:v>4.9876276320659736</c:v>
                </c:pt>
                <c:pt idx="13">
                  <c:v>5.1812692672906744</c:v>
                </c:pt>
                <c:pt idx="14">
                  <c:v>4.8443679265889896</c:v>
                </c:pt>
                <c:pt idx="15">
                  <c:v>4.8673172431203895</c:v>
                </c:pt>
                <c:pt idx="16">
                  <c:v>4.8521825333054096</c:v>
                </c:pt>
                <c:pt idx="17">
                  <c:v>5.8095134317073498</c:v>
                </c:pt>
                <c:pt idx="18">
                  <c:v>5.3347099566538541</c:v>
                </c:pt>
                <c:pt idx="19">
                  <c:v>5.0136754906884908</c:v>
                </c:pt>
                <c:pt idx="20">
                  <c:v>4.8798089252793071</c:v>
                </c:pt>
                <c:pt idx="21">
                  <c:v>5.3162632377617607</c:v>
                </c:pt>
                <c:pt idx="22">
                  <c:v>4.8995437735037326</c:v>
                </c:pt>
                <c:pt idx="23">
                  <c:v>4.972486058426802</c:v>
                </c:pt>
                <c:pt idx="24">
                  <c:v>5.5468396135542761</c:v>
                </c:pt>
                <c:pt idx="25">
                  <c:v>4.5718007480119933</c:v>
                </c:pt>
                <c:pt idx="26">
                  <c:v>4.4073468441778312</c:v>
                </c:pt>
                <c:pt idx="27">
                  <c:v>5.1473141535141194</c:v>
                </c:pt>
                <c:pt idx="28">
                  <c:v>4.6338723489828233</c:v>
                </c:pt>
                <c:pt idx="29">
                  <c:v>4.3299784667367947</c:v>
                </c:pt>
                <c:pt idx="30">
                  <c:v>3.4545786125863955</c:v>
                </c:pt>
                <c:pt idx="31">
                  <c:v>4.3425940448797533</c:v>
                </c:pt>
                <c:pt idx="32">
                  <c:v>4.5144160567472031</c:v>
                </c:pt>
                <c:pt idx="33">
                  <c:v>3.6572480581572639</c:v>
                </c:pt>
                <c:pt idx="34">
                  <c:v>4.6085674297581081</c:v>
                </c:pt>
                <c:pt idx="35">
                  <c:v>4.8606215917436435</c:v>
                </c:pt>
                <c:pt idx="36">
                  <c:v>5.7407634670308028</c:v>
                </c:pt>
                <c:pt idx="37">
                  <c:v>5.354430171525161</c:v>
                </c:pt>
                <c:pt idx="38">
                  <c:v>4.984411834374523</c:v>
                </c:pt>
                <c:pt idx="39">
                  <c:v>5.6763247308866713</c:v>
                </c:pt>
                <c:pt idx="40">
                  <c:v>4.847603163764961</c:v>
                </c:pt>
                <c:pt idx="41">
                  <c:v>3.9004643231442895</c:v>
                </c:pt>
                <c:pt idx="42">
                  <c:v>3.8660882761330608</c:v>
                </c:pt>
                <c:pt idx="43">
                  <c:v>3.7101328435387404</c:v>
                </c:pt>
                <c:pt idx="44">
                  <c:v>3.1166677325666048</c:v>
                </c:pt>
                <c:pt idx="45">
                  <c:v>3.9107756984568902</c:v>
                </c:pt>
                <c:pt idx="46">
                  <c:v>3.7990330785408011</c:v>
                </c:pt>
                <c:pt idx="47">
                  <c:v>3.5843079289256692</c:v>
                </c:pt>
                <c:pt idx="48">
                  <c:v>4.3280002959721529</c:v>
                </c:pt>
                <c:pt idx="49">
                  <c:v>5.0515461200049696</c:v>
                </c:pt>
                <c:pt idx="50">
                  <c:v>4.2058431885675622</c:v>
                </c:pt>
                <c:pt idx="51">
                  <c:v>3.8174617816354526</c:v>
                </c:pt>
                <c:pt idx="52">
                  <c:v>4.775389824996191</c:v>
                </c:pt>
                <c:pt idx="53">
                  <c:v>4.2592120544706642</c:v>
                </c:pt>
                <c:pt idx="54">
                  <c:v>5.1152541070885347</c:v>
                </c:pt>
                <c:pt idx="55">
                  <c:v>4.3661732246119005</c:v>
                </c:pt>
                <c:pt idx="56">
                  <c:v>4.4931919001487657</c:v>
                </c:pt>
                <c:pt idx="57">
                  <c:v>4.9372567100493807</c:v>
                </c:pt>
                <c:pt idx="58">
                  <c:v>3.9755088637772036</c:v>
                </c:pt>
                <c:pt idx="59">
                  <c:v>4.3520481042011303</c:v>
                </c:pt>
                <c:pt idx="60">
                  <c:v>5.2328892590867078</c:v>
                </c:pt>
                <c:pt idx="61">
                  <c:v>4.9734084711608118</c:v>
                </c:pt>
                <c:pt idx="62">
                  <c:v>5.5423166751715751</c:v>
                </c:pt>
                <c:pt idx="63">
                  <c:v>5.1355471222337528</c:v>
                </c:pt>
                <c:pt idx="64">
                  <c:v>4.7746125382530309</c:v>
                </c:pt>
                <c:pt idx="65">
                  <c:v>4.05886742096002</c:v>
                </c:pt>
                <c:pt idx="66">
                  <c:v>4.7373506110245218</c:v>
                </c:pt>
                <c:pt idx="67">
                  <c:v>4.0124246809893256</c:v>
                </c:pt>
                <c:pt idx="68">
                  <c:v>4.8993377990031375</c:v>
                </c:pt>
                <c:pt idx="69">
                  <c:v>5.2303634598442477</c:v>
                </c:pt>
                <c:pt idx="70">
                  <c:v>4.7758746800808183</c:v>
                </c:pt>
                <c:pt idx="71">
                  <c:v>4.0730220345187051</c:v>
                </c:pt>
                <c:pt idx="72">
                  <c:v>4.4104433849932319</c:v>
                </c:pt>
                <c:pt idx="73">
                  <c:v>3.8382373558990821</c:v>
                </c:pt>
                <c:pt idx="74">
                  <c:v>4.435369506866393</c:v>
                </c:pt>
                <c:pt idx="75">
                  <c:v>4.4732700136577002</c:v>
                </c:pt>
                <c:pt idx="76">
                  <c:v>4.5291165790524701</c:v>
                </c:pt>
                <c:pt idx="77">
                  <c:v>4.1273769911298119</c:v>
                </c:pt>
                <c:pt idx="78">
                  <c:v>3.2507238458438286</c:v>
                </c:pt>
                <c:pt idx="79">
                  <c:v>4.2372130735475322</c:v>
                </c:pt>
                <c:pt idx="80">
                  <c:v>3.4519647851044701</c:v>
                </c:pt>
                <c:pt idx="81">
                  <c:v>3.2101759459549823</c:v>
                </c:pt>
                <c:pt idx="82">
                  <c:v>2.2611405091366552</c:v>
                </c:pt>
                <c:pt idx="83">
                  <c:v>2.9459666575593153</c:v>
                </c:pt>
                <c:pt idx="84">
                  <c:v>3.4472115230343991</c:v>
                </c:pt>
                <c:pt idx="85">
                  <c:v>4.285405307424873</c:v>
                </c:pt>
                <c:pt idx="86">
                  <c:v>3.3400726510891747</c:v>
                </c:pt>
                <c:pt idx="87">
                  <c:v>3.2531886707708031</c:v>
                </c:pt>
                <c:pt idx="88">
                  <c:v>4.2232811026678823</c:v>
                </c:pt>
                <c:pt idx="89">
                  <c:v>4.6473490472671424</c:v>
                </c:pt>
                <c:pt idx="90">
                  <c:v>5.4520485955098996</c:v>
                </c:pt>
                <c:pt idx="91">
                  <c:v>5.200043784487967</c:v>
                </c:pt>
                <c:pt idx="92">
                  <c:v>4.2499097215022701</c:v>
                </c:pt>
                <c:pt idx="93">
                  <c:v>3.2899866122870201</c:v>
                </c:pt>
                <c:pt idx="94">
                  <c:v>3.1501346370918313</c:v>
                </c:pt>
                <c:pt idx="95">
                  <c:v>3.0598178995530976</c:v>
                </c:pt>
                <c:pt idx="96">
                  <c:v>2.9856988361631998</c:v>
                </c:pt>
                <c:pt idx="97">
                  <c:v>2.7029628091646711</c:v>
                </c:pt>
                <c:pt idx="98">
                  <c:v>2.6593435954321691</c:v>
                </c:pt>
                <c:pt idx="99">
                  <c:v>3.2824187961931655</c:v>
                </c:pt>
                <c:pt idx="100">
                  <c:v>3.9000261282087934</c:v>
                </c:pt>
                <c:pt idx="101">
                  <c:v>3.0990641626554813</c:v>
                </c:pt>
                <c:pt idx="102">
                  <c:v>2.4528281034277262</c:v>
                </c:pt>
                <c:pt idx="103">
                  <c:v>1.8783142040504386</c:v>
                </c:pt>
                <c:pt idx="104">
                  <c:v>1.9526498771185092</c:v>
                </c:pt>
                <c:pt idx="105">
                  <c:v>2.546835261942654</c:v>
                </c:pt>
                <c:pt idx="106">
                  <c:v>3.0628154827234746</c:v>
                </c:pt>
                <c:pt idx="107">
                  <c:v>3.6609890779163807</c:v>
                </c:pt>
                <c:pt idx="108">
                  <c:v>4.5355939164371799</c:v>
                </c:pt>
                <c:pt idx="109">
                  <c:v>4.4593102088028216</c:v>
                </c:pt>
                <c:pt idx="110">
                  <c:v>5.3729317443609901</c:v>
                </c:pt>
                <c:pt idx="111">
                  <c:v>5.3315555602214957</c:v>
                </c:pt>
                <c:pt idx="112">
                  <c:v>5.2325705556065429</c:v>
                </c:pt>
                <c:pt idx="113">
                  <c:v>4.8103785028417905</c:v>
                </c:pt>
                <c:pt idx="114">
                  <c:v>4.5903328956417599</c:v>
                </c:pt>
                <c:pt idx="115">
                  <c:v>4.4456127602348001</c:v>
                </c:pt>
                <c:pt idx="116">
                  <c:v>4.4354279320564585</c:v>
                </c:pt>
                <c:pt idx="117">
                  <c:v>3.8844218175205083</c:v>
                </c:pt>
                <c:pt idx="118">
                  <c:v>3.9412988040354251</c:v>
                </c:pt>
                <c:pt idx="119">
                  <c:v>3.644708748892509</c:v>
                </c:pt>
                <c:pt idx="120">
                  <c:v>2.6829464493495676</c:v>
                </c:pt>
                <c:pt idx="121">
                  <c:v>2.1812678085653645</c:v>
                </c:pt>
                <c:pt idx="122">
                  <c:v>2.661217184365503</c:v>
                </c:pt>
                <c:pt idx="123">
                  <c:v>2.9823008679358822</c:v>
                </c:pt>
                <c:pt idx="124">
                  <c:v>1.9969740966176479</c:v>
                </c:pt>
                <c:pt idx="125">
                  <c:v>2.3931813705569249</c:v>
                </c:pt>
                <c:pt idx="126">
                  <c:v>2.1481731898639138</c:v>
                </c:pt>
                <c:pt idx="127">
                  <c:v>3.0131948408826719</c:v>
                </c:pt>
                <c:pt idx="128">
                  <c:v>2.1405510457972641</c:v>
                </c:pt>
                <c:pt idx="129">
                  <c:v>1.7215741144712962</c:v>
                </c:pt>
                <c:pt idx="130">
                  <c:v>1.6452432687394927</c:v>
                </c:pt>
                <c:pt idx="131">
                  <c:v>2.2017548863715781</c:v>
                </c:pt>
                <c:pt idx="132">
                  <c:v>3.0459725952864627</c:v>
                </c:pt>
                <c:pt idx="133">
                  <c:v>2.7125220446338894</c:v>
                </c:pt>
                <c:pt idx="134">
                  <c:v>2.0532964984034292</c:v>
                </c:pt>
                <c:pt idx="135">
                  <c:v>2.519556317721098</c:v>
                </c:pt>
                <c:pt idx="136">
                  <c:v>1.6727868313342322</c:v>
                </c:pt>
                <c:pt idx="137">
                  <c:v>1.3272847250065918</c:v>
                </c:pt>
                <c:pt idx="138">
                  <c:v>1.3486825178474211</c:v>
                </c:pt>
                <c:pt idx="139">
                  <c:v>1.9851435549605041</c:v>
                </c:pt>
                <c:pt idx="140">
                  <c:v>2.4323846470168844</c:v>
                </c:pt>
                <c:pt idx="141">
                  <c:v>1.7954118596630739</c:v>
                </c:pt>
                <c:pt idx="142">
                  <c:v>1.8673535940252224</c:v>
                </c:pt>
                <c:pt idx="143">
                  <c:v>2.7507993627278347</c:v>
                </c:pt>
                <c:pt idx="144">
                  <c:v>2.7868328895932661</c:v>
                </c:pt>
                <c:pt idx="145">
                  <c:v>2.2828462572378179</c:v>
                </c:pt>
                <c:pt idx="146">
                  <c:v>2.906950872250027</c:v>
                </c:pt>
                <c:pt idx="147">
                  <c:v>3.4444011761150977</c:v>
                </c:pt>
                <c:pt idx="148">
                  <c:v>3.0843119192482531</c:v>
                </c:pt>
                <c:pt idx="149">
                  <c:v>3.7405276091563855</c:v>
                </c:pt>
                <c:pt idx="150">
                  <c:v>4.1673864857936946</c:v>
                </c:pt>
                <c:pt idx="151">
                  <c:v>4.5990833750309514</c:v>
                </c:pt>
                <c:pt idx="152">
                  <c:v>5.4900618491144497</c:v>
                </c:pt>
                <c:pt idx="153">
                  <c:v>4.5924567234330462</c:v>
                </c:pt>
                <c:pt idx="154">
                  <c:v>3.6275086652107102</c:v>
                </c:pt>
                <c:pt idx="155">
                  <c:v>4.1358675693372877</c:v>
                </c:pt>
                <c:pt idx="156">
                  <c:v>5.0525261677627693</c:v>
                </c:pt>
                <c:pt idx="157">
                  <c:v>4.1203549951560374</c:v>
                </c:pt>
                <c:pt idx="158">
                  <c:v>3.5112183765021334</c:v>
                </c:pt>
                <c:pt idx="159">
                  <c:v>3.6264485109538525</c:v>
                </c:pt>
                <c:pt idx="160">
                  <c:v>4.3481741221382038</c:v>
                </c:pt>
                <c:pt idx="161">
                  <c:v>4.3721140595114809</c:v>
                </c:pt>
                <c:pt idx="162">
                  <c:v>4.1333642271338098</c:v>
                </c:pt>
                <c:pt idx="163">
                  <c:v>4.4589134417431024</c:v>
                </c:pt>
                <c:pt idx="164">
                  <c:v>4.9684919449433123</c:v>
                </c:pt>
                <c:pt idx="165">
                  <c:v>5.8518129141781889</c:v>
                </c:pt>
                <c:pt idx="166">
                  <c:v>5.0697002430566993</c:v>
                </c:pt>
                <c:pt idx="167">
                  <c:v>4.9543771747743985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D1-4C89-A32F-457AF9786508}"/>
            </c:ext>
          </c:extLst>
        </c:ser>
        <c:ser>
          <c:idx val="1"/>
          <c:order val="1"/>
          <c:tx>
            <c:strRef>
              <c:f>Pivot!$AY$3:$AY$4</c:f>
              <c:strCache>
                <c:ptCount val="1"/>
                <c:pt idx="0">
                  <c:v>Macan</c:v>
                </c:pt>
              </c:strCache>
            </c:strRef>
          </c:tx>
          <c:marker>
            <c:symbol val="none"/>
          </c:marker>
          <c:cat>
            <c:multiLvlStrRef>
              <c:f>Pivot!$AV$5:$AW$173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Pivot!$AY$5:$AY$173</c:f>
              <c:numCache>
                <c:formatCode>General</c:formatCode>
                <c:ptCount val="168"/>
                <c:pt idx="0">
                  <c:v>4.3613132262576162</c:v>
                </c:pt>
                <c:pt idx="1">
                  <c:v>3.4187486797365656</c:v>
                </c:pt>
                <c:pt idx="2">
                  <c:v>3.0934684688819623</c:v>
                </c:pt>
                <c:pt idx="3">
                  <c:v>2.2069157338567731</c:v>
                </c:pt>
                <c:pt idx="4">
                  <c:v>2.6221101747024598</c:v>
                </c:pt>
                <c:pt idx="5">
                  <c:v>3.6219930189446283</c:v>
                </c:pt>
                <c:pt idx="6">
                  <c:v>3.3530048867537903</c:v>
                </c:pt>
                <c:pt idx="7">
                  <c:v>3.1127528897970307</c:v>
                </c:pt>
                <c:pt idx="8">
                  <c:v>2.6891317427612451</c:v>
                </c:pt>
                <c:pt idx="9">
                  <c:v>3.3378201836736467</c:v>
                </c:pt>
                <c:pt idx="10">
                  <c:v>3.1878291094263003</c:v>
                </c:pt>
                <c:pt idx="11">
                  <c:v>2.5889197709887717</c:v>
                </c:pt>
                <c:pt idx="12">
                  <c:v>1.77661844820694</c:v>
                </c:pt>
                <c:pt idx="13">
                  <c:v>1.7457671450973684</c:v>
                </c:pt>
                <c:pt idx="14">
                  <c:v>0.92335890477553229</c:v>
                </c:pt>
                <c:pt idx="15">
                  <c:v>1.6988626572207584</c:v>
                </c:pt>
                <c:pt idx="16">
                  <c:v>1.2581825904047865</c:v>
                </c:pt>
                <c:pt idx="17">
                  <c:v>0.98507007660499424</c:v>
                </c:pt>
                <c:pt idx="18">
                  <c:v>1.3619837750523682</c:v>
                </c:pt>
                <c:pt idx="19">
                  <c:v>1.257845693516296</c:v>
                </c:pt>
                <c:pt idx="20">
                  <c:v>0.44807690967143832</c:v>
                </c:pt>
                <c:pt idx="21">
                  <c:v>0.63016838798918096</c:v>
                </c:pt>
                <c:pt idx="22">
                  <c:v>1.3921282535216091</c:v>
                </c:pt>
                <c:pt idx="23">
                  <c:v>0.58649571759236852</c:v>
                </c:pt>
                <c:pt idx="24">
                  <c:v>0.60036569161017728</c:v>
                </c:pt>
                <c:pt idx="25">
                  <c:v>0.63837645490436223</c:v>
                </c:pt>
                <c:pt idx="26">
                  <c:v>1.3665992849284547</c:v>
                </c:pt>
                <c:pt idx="27">
                  <c:v>0.62482507972787749</c:v>
                </c:pt>
                <c:pt idx="28">
                  <c:v>1.2181733651630802</c:v>
                </c:pt>
                <c:pt idx="29">
                  <c:v>1.0964868687832419</c:v>
                </c:pt>
                <c:pt idx="30">
                  <c:v>1.0393026724797632</c:v>
                </c:pt>
                <c:pt idx="31">
                  <c:v>1.432090830212579</c:v>
                </c:pt>
                <c:pt idx="32">
                  <c:v>0.84659225789235071</c:v>
                </c:pt>
                <c:pt idx="33">
                  <c:v>1.8119275828700605</c:v>
                </c:pt>
                <c:pt idx="34">
                  <c:v>0.82918041244703344</c:v>
                </c:pt>
                <c:pt idx="35">
                  <c:v>1.4345763335710089</c:v>
                </c:pt>
                <c:pt idx="36">
                  <c:v>1.6992278115816148</c:v>
                </c:pt>
                <c:pt idx="37">
                  <c:v>2.3749282993980487</c:v>
                </c:pt>
                <c:pt idx="38">
                  <c:v>3.0436906983958965</c:v>
                </c:pt>
                <c:pt idx="39">
                  <c:v>3.4780895901248772</c:v>
                </c:pt>
                <c:pt idx="40">
                  <c:v>3.3106637655344771</c:v>
                </c:pt>
                <c:pt idx="41">
                  <c:v>3.2101865658659028</c:v>
                </c:pt>
                <c:pt idx="42">
                  <c:v>4.1934854293794315</c:v>
                </c:pt>
                <c:pt idx="43">
                  <c:v>3.2436859615212952</c:v>
                </c:pt>
                <c:pt idx="44">
                  <c:v>3.6581415710191241</c:v>
                </c:pt>
                <c:pt idx="45">
                  <c:v>3.4665866521892728</c:v>
                </c:pt>
                <c:pt idx="46">
                  <c:v>4.2252364768901032</c:v>
                </c:pt>
                <c:pt idx="47">
                  <c:v>4.3654044102119087</c:v>
                </c:pt>
                <c:pt idx="48">
                  <c:v>4.7238587979288367</c:v>
                </c:pt>
                <c:pt idx="49">
                  <c:v>5.2955739442274137</c:v>
                </c:pt>
                <c:pt idx="50">
                  <c:v>5.1614280718829768</c:v>
                </c:pt>
                <c:pt idx="51">
                  <c:v>4.6763587114884544</c:v>
                </c:pt>
                <c:pt idx="52">
                  <c:v>4.8895393274195973</c:v>
                </c:pt>
                <c:pt idx="53">
                  <c:v>5.6513996111938161</c:v>
                </c:pt>
                <c:pt idx="54">
                  <c:v>5.4868125015732723</c:v>
                </c:pt>
                <c:pt idx="55">
                  <c:v>5.3916961901824978</c:v>
                </c:pt>
                <c:pt idx="56">
                  <c:v>4.6087066193897677</c:v>
                </c:pt>
                <c:pt idx="57">
                  <c:v>4.2752748385125221</c:v>
                </c:pt>
                <c:pt idx="58">
                  <c:v>3.6124404867851947</c:v>
                </c:pt>
                <c:pt idx="59">
                  <c:v>3.6391287012411371</c:v>
                </c:pt>
                <c:pt idx="60">
                  <c:v>2.8956112565803158</c:v>
                </c:pt>
                <c:pt idx="61">
                  <c:v>2.0835231401850089</c:v>
                </c:pt>
                <c:pt idx="62">
                  <c:v>1.3467942489559031</c:v>
                </c:pt>
                <c:pt idx="63">
                  <c:v>0.9428916419255049</c:v>
                </c:pt>
                <c:pt idx="64">
                  <c:v>1.1760957604720281</c:v>
                </c:pt>
                <c:pt idx="65">
                  <c:v>0.53080757218577146</c:v>
                </c:pt>
                <c:pt idx="66">
                  <c:v>1.0738241718071198</c:v>
                </c:pt>
                <c:pt idx="67">
                  <c:v>1.5175784518932709</c:v>
                </c:pt>
                <c:pt idx="68">
                  <c:v>1.9783470540414561</c:v>
                </c:pt>
                <c:pt idx="69">
                  <c:v>1.372278601167602</c:v>
                </c:pt>
                <c:pt idx="70">
                  <c:v>2.1875828660841403</c:v>
                </c:pt>
                <c:pt idx="71">
                  <c:v>1.3712568759813553</c:v>
                </c:pt>
                <c:pt idx="72">
                  <c:v>0.57831858738393249</c:v>
                </c:pt>
                <c:pt idx="73">
                  <c:v>0.5941780622306394</c:v>
                </c:pt>
                <c:pt idx="74">
                  <c:v>1.327024715668204</c:v>
                </c:pt>
                <c:pt idx="75">
                  <c:v>1.6798650183154782</c:v>
                </c:pt>
                <c:pt idx="76">
                  <c:v>2.2464223616018888</c:v>
                </c:pt>
                <c:pt idx="77">
                  <c:v>2.2672455663341284</c:v>
                </c:pt>
                <c:pt idx="78">
                  <c:v>2.0456044054138909</c:v>
                </c:pt>
                <c:pt idx="79">
                  <c:v>2.9812049404400667</c:v>
                </c:pt>
                <c:pt idx="80">
                  <c:v>3.6323047955901386</c:v>
                </c:pt>
                <c:pt idx="81">
                  <c:v>3.3444262926134396</c:v>
                </c:pt>
                <c:pt idx="82">
                  <c:v>3.0185922731273886</c:v>
                </c:pt>
                <c:pt idx="83">
                  <c:v>2.1134905441166687</c:v>
                </c:pt>
                <c:pt idx="84">
                  <c:v>1.6029388047822168</c:v>
                </c:pt>
                <c:pt idx="85">
                  <c:v>2.3401037724564198</c:v>
                </c:pt>
                <c:pt idx="86">
                  <c:v>1.4825395063590643</c:v>
                </c:pt>
                <c:pt idx="87">
                  <c:v>1.7977472674717827</c:v>
                </c:pt>
                <c:pt idx="88">
                  <c:v>2.0548725659876461</c:v>
                </c:pt>
                <c:pt idx="89">
                  <c:v>1.3339155370030236</c:v>
                </c:pt>
                <c:pt idx="90">
                  <c:v>1.7614541611676922</c:v>
                </c:pt>
                <c:pt idx="91">
                  <c:v>1.2454079094841175</c:v>
                </c:pt>
                <c:pt idx="92">
                  <c:v>1.9158749407248812</c:v>
                </c:pt>
                <c:pt idx="93">
                  <c:v>1.3890232714830917</c:v>
                </c:pt>
                <c:pt idx="94">
                  <c:v>0.53139563196837525</c:v>
                </c:pt>
                <c:pt idx="95">
                  <c:v>1.0943413998535441</c:v>
                </c:pt>
                <c:pt idx="96">
                  <c:v>1.904409900455946</c:v>
                </c:pt>
                <c:pt idx="97">
                  <c:v>2.2886581902625971</c:v>
                </c:pt>
                <c:pt idx="98">
                  <c:v>2.4575165872436173</c:v>
                </c:pt>
                <c:pt idx="99">
                  <c:v>1.9245700233506762</c:v>
                </c:pt>
                <c:pt idx="100">
                  <c:v>2.0877169221187364</c:v>
                </c:pt>
                <c:pt idx="101">
                  <c:v>1.290376757002816</c:v>
                </c:pt>
                <c:pt idx="102">
                  <c:v>0.48487149386603257</c:v>
                </c:pt>
                <c:pt idx="103">
                  <c:v>1.3699043696374225</c:v>
                </c:pt>
                <c:pt idx="104">
                  <c:v>1.9335719459536931</c:v>
                </c:pt>
                <c:pt idx="105">
                  <c:v>2.3148409194696455</c:v>
                </c:pt>
                <c:pt idx="106">
                  <c:v>1.3562617753684143</c:v>
                </c:pt>
                <c:pt idx="107">
                  <c:v>1.5783006255110714</c:v>
                </c:pt>
                <c:pt idx="108">
                  <c:v>0.73930629060739206</c:v>
                </c:pt>
                <c:pt idx="109">
                  <c:v>1.361520038803981</c:v>
                </c:pt>
                <c:pt idx="110">
                  <c:v>2.2947826335975048</c:v>
                </c:pt>
                <c:pt idx="111">
                  <c:v>1.8014722783372703</c:v>
                </c:pt>
                <c:pt idx="112">
                  <c:v>1.9049601537203293</c:v>
                </c:pt>
                <c:pt idx="113">
                  <c:v>1.6473133687200932</c:v>
                </c:pt>
                <c:pt idx="114">
                  <c:v>1.7158099152901727</c:v>
                </c:pt>
                <c:pt idx="115">
                  <c:v>2.4068463333021701</c:v>
                </c:pt>
                <c:pt idx="116">
                  <c:v>2.7354684822849551</c:v>
                </c:pt>
                <c:pt idx="117">
                  <c:v>2.2010768746311631</c:v>
                </c:pt>
                <c:pt idx="118">
                  <c:v>2.6599360042044307</c:v>
                </c:pt>
                <c:pt idx="119">
                  <c:v>1.6945840878261236</c:v>
                </c:pt>
                <c:pt idx="120">
                  <c:v>2.2375301870262287</c:v>
                </c:pt>
                <c:pt idx="121">
                  <c:v>1.7143095216941178</c:v>
                </c:pt>
                <c:pt idx="122">
                  <c:v>2.0413188952126031</c:v>
                </c:pt>
                <c:pt idx="123">
                  <c:v>2.9988518613147495</c:v>
                </c:pt>
                <c:pt idx="124">
                  <c:v>3.3345091264789111</c:v>
                </c:pt>
                <c:pt idx="125">
                  <c:v>2.9235159085122362</c:v>
                </c:pt>
                <c:pt idx="126">
                  <c:v>2.4497373974872518</c:v>
                </c:pt>
                <c:pt idx="127">
                  <c:v>2.6328406019833137</c:v>
                </c:pt>
                <c:pt idx="128">
                  <c:v>3.5009412949330869</c:v>
                </c:pt>
                <c:pt idx="129">
                  <c:v>4.497972849731239</c:v>
                </c:pt>
                <c:pt idx="130">
                  <c:v>4.3163218149709861</c:v>
                </c:pt>
                <c:pt idx="131">
                  <c:v>4.3143585040424943</c:v>
                </c:pt>
                <c:pt idx="132">
                  <c:v>4.7511988576421587</c:v>
                </c:pt>
                <c:pt idx="133">
                  <c:v>5.1944550369276108</c:v>
                </c:pt>
                <c:pt idx="134">
                  <c:v>4.3728544001787153</c:v>
                </c:pt>
                <c:pt idx="135">
                  <c:v>5.15694822030461</c:v>
                </c:pt>
                <c:pt idx="136">
                  <c:v>5.0138606772949403</c:v>
                </c:pt>
                <c:pt idx="137">
                  <c:v>4.3490626920604285</c:v>
                </c:pt>
                <c:pt idx="138">
                  <c:v>3.8432431172875505</c:v>
                </c:pt>
                <c:pt idx="139">
                  <c:v>2.9449455430654856</c:v>
                </c:pt>
                <c:pt idx="140">
                  <c:v>3.253228876669088</c:v>
                </c:pt>
                <c:pt idx="141">
                  <c:v>3.0070512766270521</c:v>
                </c:pt>
                <c:pt idx="142">
                  <c:v>2.0953649869472866</c:v>
                </c:pt>
                <c:pt idx="143">
                  <c:v>1.8921283790534769</c:v>
                </c:pt>
                <c:pt idx="144">
                  <c:v>2.0851177189673877</c:v>
                </c:pt>
                <c:pt idx="145">
                  <c:v>2.315444219951492</c:v>
                </c:pt>
                <c:pt idx="146">
                  <c:v>2.2645499670119342</c:v>
                </c:pt>
                <c:pt idx="147">
                  <c:v>1.6507018737743064</c:v>
                </c:pt>
                <c:pt idx="148">
                  <c:v>2.3580842772189632</c:v>
                </c:pt>
                <c:pt idx="149">
                  <c:v>1.5545641252226283</c:v>
                </c:pt>
                <c:pt idx="150">
                  <c:v>0.78018246668466429</c:v>
                </c:pt>
                <c:pt idx="151">
                  <c:v>1.7059471083561009</c:v>
                </c:pt>
                <c:pt idx="152">
                  <c:v>1.1820352501061153</c:v>
                </c:pt>
                <c:pt idx="153">
                  <c:v>0.55038268031535309</c:v>
                </c:pt>
                <c:pt idx="154">
                  <c:v>1.3244110281334343</c:v>
                </c:pt>
                <c:pt idx="155">
                  <c:v>1.6324500490121641</c:v>
                </c:pt>
                <c:pt idx="156">
                  <c:v>2.6178580742153992</c:v>
                </c:pt>
                <c:pt idx="157">
                  <c:v>2.1250895188789816</c:v>
                </c:pt>
                <c:pt idx="158">
                  <c:v>2.4415321827439769</c:v>
                </c:pt>
                <c:pt idx="159">
                  <c:v>1.702174844464198</c:v>
                </c:pt>
                <c:pt idx="160">
                  <c:v>1.3928935980680157</c:v>
                </c:pt>
                <c:pt idx="161">
                  <c:v>1.4414137384114176</c:v>
                </c:pt>
                <c:pt idx="162">
                  <c:v>1.3192668419870743</c:v>
                </c:pt>
                <c:pt idx="163">
                  <c:v>1.1580789300574614</c:v>
                </c:pt>
                <c:pt idx="164">
                  <c:v>1.4594746572930408</c:v>
                </c:pt>
                <c:pt idx="165">
                  <c:v>2.4390616292498795</c:v>
                </c:pt>
                <c:pt idx="166">
                  <c:v>2.8750734082721392</c:v>
                </c:pt>
                <c:pt idx="167">
                  <c:v>2.0860903076635959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D1-4C89-A32F-457AF9786508}"/>
            </c:ext>
          </c:extLst>
        </c:ser>
        <c:ser>
          <c:idx val="2"/>
          <c:order val="2"/>
          <c:tx>
            <c:strRef>
              <c:f>Pivot!$AZ$3:$AZ$4</c:f>
              <c:strCache>
                <c:ptCount val="1"/>
                <c:pt idx="0">
                  <c:v>Pinguin</c:v>
                </c:pt>
              </c:strCache>
            </c:strRef>
          </c:tx>
          <c:marker>
            <c:symbol val="none"/>
          </c:marker>
          <c:cat>
            <c:multiLvlStrRef>
              <c:f>Pivot!$AV$5:$AW$173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Pivot!$AZ$5:$AZ$173</c:f>
              <c:numCache>
                <c:formatCode>General</c:formatCode>
                <c:ptCount val="168"/>
                <c:pt idx="0">
                  <c:v>2.2167265947908907</c:v>
                </c:pt>
                <c:pt idx="1">
                  <c:v>1.9787516175973163</c:v>
                </c:pt>
                <c:pt idx="2">
                  <c:v>1.2883991842960283</c:v>
                </c:pt>
                <c:pt idx="3">
                  <c:v>1.3884571000461068</c:v>
                </c:pt>
                <c:pt idx="4">
                  <c:v>2.259965289156816</c:v>
                </c:pt>
                <c:pt idx="5">
                  <c:v>3.1054324707750451</c:v>
                </c:pt>
                <c:pt idx="6">
                  <c:v>3.4997022492317322</c:v>
                </c:pt>
                <c:pt idx="7">
                  <c:v>4.0246378431378398</c:v>
                </c:pt>
                <c:pt idx="8">
                  <c:v>3.6923619036800996</c:v>
                </c:pt>
                <c:pt idx="9">
                  <c:v>3.2969191247527774</c:v>
                </c:pt>
                <c:pt idx="10">
                  <c:v>3.1036352998541119</c:v>
                </c:pt>
                <c:pt idx="11">
                  <c:v>3.2020241591263976</c:v>
                </c:pt>
                <c:pt idx="12">
                  <c:v>3.8092574957863454</c:v>
                </c:pt>
                <c:pt idx="13">
                  <c:v>3.6802957317293501</c:v>
                </c:pt>
                <c:pt idx="14">
                  <c:v>4.2102047674749752</c:v>
                </c:pt>
                <c:pt idx="15">
                  <c:v>5.1451948701245112</c:v>
                </c:pt>
                <c:pt idx="16">
                  <c:v>4.3632186006153981</c:v>
                </c:pt>
                <c:pt idx="17">
                  <c:v>5.2915673867051751</c:v>
                </c:pt>
                <c:pt idx="18">
                  <c:v>4.8469276561040688</c:v>
                </c:pt>
                <c:pt idx="19">
                  <c:v>4.4678905256281833</c:v>
                </c:pt>
                <c:pt idx="20">
                  <c:v>4.6501551761858551</c:v>
                </c:pt>
                <c:pt idx="21">
                  <c:v>4.3384265821315324</c:v>
                </c:pt>
                <c:pt idx="22">
                  <c:v>4.606550171002266</c:v>
                </c:pt>
                <c:pt idx="23">
                  <c:v>5.5903647685248563</c:v>
                </c:pt>
                <c:pt idx="24">
                  <c:v>5.0804538263614232</c:v>
                </c:pt>
                <c:pt idx="25">
                  <c:v>4.9165691041364727</c:v>
                </c:pt>
                <c:pt idx="26">
                  <c:v>5.1583963500049279</c:v>
                </c:pt>
                <c:pt idx="27">
                  <c:v>4.5044920110063371</c:v>
                </c:pt>
                <c:pt idx="28">
                  <c:v>4.9635809786586425</c:v>
                </c:pt>
                <c:pt idx="29">
                  <c:v>5.5206580817941369</c:v>
                </c:pt>
                <c:pt idx="30">
                  <c:v>4.8674384005782665</c:v>
                </c:pt>
                <c:pt idx="31">
                  <c:v>5.5939131762765513</c:v>
                </c:pt>
                <c:pt idx="32">
                  <c:v>5.5933598202027257</c:v>
                </c:pt>
                <c:pt idx="33">
                  <c:v>5.1543183146862273</c:v>
                </c:pt>
                <c:pt idx="34">
                  <c:v>4.3653411617800923</c:v>
                </c:pt>
                <c:pt idx="35">
                  <c:v>4.1906361658681881</c:v>
                </c:pt>
                <c:pt idx="36">
                  <c:v>4.9721006224308244</c:v>
                </c:pt>
                <c:pt idx="37">
                  <c:v>5.6156449665317867</c:v>
                </c:pt>
                <c:pt idx="38">
                  <c:v>4.9258765647341409</c:v>
                </c:pt>
                <c:pt idx="39">
                  <c:v>4.1483264247577303</c:v>
                </c:pt>
                <c:pt idx="40">
                  <c:v>4.0272603725616509</c:v>
                </c:pt>
                <c:pt idx="41">
                  <c:v>4.2555754598791049</c:v>
                </c:pt>
                <c:pt idx="42">
                  <c:v>5.0245636282318795</c:v>
                </c:pt>
                <c:pt idx="43">
                  <c:v>4.2856798768931945</c:v>
                </c:pt>
                <c:pt idx="44">
                  <c:v>5.2051727778600778</c:v>
                </c:pt>
                <c:pt idx="45">
                  <c:v>4.8701129978797084</c:v>
                </c:pt>
                <c:pt idx="46">
                  <c:v>5.3446710076339521</c:v>
                </c:pt>
                <c:pt idx="47">
                  <c:v>4.7286356521902579</c:v>
                </c:pt>
                <c:pt idx="48">
                  <c:v>4.6070103908765896</c:v>
                </c:pt>
                <c:pt idx="49">
                  <c:v>4.554843411663521</c:v>
                </c:pt>
                <c:pt idx="50">
                  <c:v>4.4298075248162085</c:v>
                </c:pt>
                <c:pt idx="51">
                  <c:v>4.9163257452054552</c:v>
                </c:pt>
                <c:pt idx="52">
                  <c:v>5.2082805189629928</c:v>
                </c:pt>
                <c:pt idx="53">
                  <c:v>4.9585892562102245</c:v>
                </c:pt>
                <c:pt idx="54">
                  <c:v>5.5323814425397835</c:v>
                </c:pt>
                <c:pt idx="55">
                  <c:v>5.4434888966819202</c:v>
                </c:pt>
                <c:pt idx="56">
                  <c:v>4.8950723129293792</c:v>
                </c:pt>
                <c:pt idx="57">
                  <c:v>5.0531044511025209</c:v>
                </c:pt>
                <c:pt idx="58">
                  <c:v>4.3872698260819902</c:v>
                </c:pt>
                <c:pt idx="59">
                  <c:v>4.7756082265137811</c:v>
                </c:pt>
                <c:pt idx="60">
                  <c:v>5.6327852172827679</c:v>
                </c:pt>
                <c:pt idx="61">
                  <c:v>5.1690141196174508</c:v>
                </c:pt>
                <c:pt idx="62">
                  <c:v>4.1833808922397111</c:v>
                </c:pt>
                <c:pt idx="63">
                  <c:v>4.5518663454163164</c:v>
                </c:pt>
                <c:pt idx="64">
                  <c:v>5.4694465596861122</c:v>
                </c:pt>
                <c:pt idx="65">
                  <c:v>4.9051842600677649</c:v>
                </c:pt>
                <c:pt idx="66">
                  <c:v>4.2028751184754345</c:v>
                </c:pt>
                <c:pt idx="67">
                  <c:v>5.0777190774824685</c:v>
                </c:pt>
                <c:pt idx="68">
                  <c:v>4.8600310130423354</c:v>
                </c:pt>
                <c:pt idx="69">
                  <c:v>4.3703475506230909</c:v>
                </c:pt>
                <c:pt idx="70">
                  <c:v>4.8718553773418689</c:v>
                </c:pt>
                <c:pt idx="71">
                  <c:v>5.5166930157054681</c:v>
                </c:pt>
                <c:pt idx="72">
                  <c:v>4.6429551654666215</c:v>
                </c:pt>
                <c:pt idx="73">
                  <c:v>4.8157284688308781</c:v>
                </c:pt>
                <c:pt idx="74">
                  <c:v>4.9464455239384195</c:v>
                </c:pt>
                <c:pt idx="75">
                  <c:v>5.9037000045806334</c:v>
                </c:pt>
                <c:pt idx="76">
                  <c:v>5.6093430087590148</c:v>
                </c:pt>
                <c:pt idx="77">
                  <c:v>5.114462787478665</c:v>
                </c:pt>
                <c:pt idx="78">
                  <c:v>4.8146293703306196</c:v>
                </c:pt>
                <c:pt idx="79">
                  <c:v>5.2092187098923324</c:v>
                </c:pt>
                <c:pt idx="80">
                  <c:v>5.1810784480440235</c:v>
                </c:pt>
                <c:pt idx="81">
                  <c:v>4.5569142381679528</c:v>
                </c:pt>
                <c:pt idx="82">
                  <c:v>3.991514377039616</c:v>
                </c:pt>
                <c:pt idx="83">
                  <c:v>3.935533597928107</c:v>
                </c:pt>
                <c:pt idx="84">
                  <c:v>4.7568569542995087</c:v>
                </c:pt>
                <c:pt idx="85">
                  <c:v>4.9931698229593664</c:v>
                </c:pt>
                <c:pt idx="86">
                  <c:v>5.1675265565385597</c:v>
                </c:pt>
                <c:pt idx="87">
                  <c:v>4.6040691281119575</c:v>
                </c:pt>
                <c:pt idx="88">
                  <c:v>4.3414181343021143</c:v>
                </c:pt>
                <c:pt idx="89">
                  <c:v>3.5689967818398416</c:v>
                </c:pt>
                <c:pt idx="90">
                  <c:v>3.1887135477872577</c:v>
                </c:pt>
                <c:pt idx="91">
                  <c:v>2.9716615123670342</c:v>
                </c:pt>
                <c:pt idx="92">
                  <c:v>2.1099292596270964</c:v>
                </c:pt>
                <c:pt idx="93">
                  <c:v>1.4183983549034345</c:v>
                </c:pt>
                <c:pt idx="94">
                  <c:v>0.95237936026370607</c:v>
                </c:pt>
                <c:pt idx="95">
                  <c:v>1.1384772005444368</c:v>
                </c:pt>
                <c:pt idx="96">
                  <c:v>0.34258849952177783</c:v>
                </c:pt>
                <c:pt idx="97">
                  <c:v>1.2872877625790533</c:v>
                </c:pt>
                <c:pt idx="98">
                  <c:v>0.69512242613360553</c:v>
                </c:pt>
                <c:pt idx="99">
                  <c:v>1.6495875154705038</c:v>
                </c:pt>
                <c:pt idx="100">
                  <c:v>1.8561029698665947</c:v>
                </c:pt>
                <c:pt idx="101">
                  <c:v>1.6723088501387968</c:v>
                </c:pt>
                <c:pt idx="102">
                  <c:v>1.0644533171753099</c:v>
                </c:pt>
                <c:pt idx="103">
                  <c:v>0.60034109404007263</c:v>
                </c:pt>
                <c:pt idx="104">
                  <c:v>1.3487134876619444</c:v>
                </c:pt>
                <c:pt idx="105">
                  <c:v>0.54485457671305371</c:v>
                </c:pt>
                <c:pt idx="106">
                  <c:v>0.61998815710920496</c:v>
                </c:pt>
                <c:pt idx="107">
                  <c:v>1.4317311127159833</c:v>
                </c:pt>
                <c:pt idx="108">
                  <c:v>1.1732341259766463</c:v>
                </c:pt>
                <c:pt idx="109">
                  <c:v>1.805411337350475</c:v>
                </c:pt>
                <c:pt idx="110">
                  <c:v>1.2953891123137931</c:v>
                </c:pt>
                <c:pt idx="111">
                  <c:v>0.50270981172719431</c:v>
                </c:pt>
                <c:pt idx="112">
                  <c:v>0.59226039727117041</c:v>
                </c:pt>
                <c:pt idx="113">
                  <c:v>1.5838712471488938</c:v>
                </c:pt>
                <c:pt idx="114">
                  <c:v>2.1128413837463325</c:v>
                </c:pt>
                <c:pt idx="115">
                  <c:v>3.0473749216392965</c:v>
                </c:pt>
                <c:pt idx="116">
                  <c:v>2.164172900194453</c:v>
                </c:pt>
                <c:pt idx="117">
                  <c:v>2.5236221286506724</c:v>
                </c:pt>
                <c:pt idx="118">
                  <c:v>3.1574330027429109</c:v>
                </c:pt>
                <c:pt idx="119">
                  <c:v>4.0132073121137504</c:v>
                </c:pt>
                <c:pt idx="120">
                  <c:v>4.4774905885571217</c:v>
                </c:pt>
                <c:pt idx="121">
                  <c:v>4.8961953711567983</c:v>
                </c:pt>
                <c:pt idx="122">
                  <c:v>5.4838132313416157</c:v>
                </c:pt>
                <c:pt idx="123">
                  <c:v>4.7010558215623828</c:v>
                </c:pt>
                <c:pt idx="124">
                  <c:v>5.5664032361585898</c:v>
                </c:pt>
                <c:pt idx="125">
                  <c:v>5.2380364301047511</c:v>
                </c:pt>
                <c:pt idx="126">
                  <c:v>4.8931962500610187</c:v>
                </c:pt>
                <c:pt idx="127">
                  <c:v>4.0310405257630988</c:v>
                </c:pt>
                <c:pt idx="128">
                  <c:v>4.7726933106328264</c:v>
                </c:pt>
                <c:pt idx="129">
                  <c:v>4.2696060330986487</c:v>
                </c:pt>
                <c:pt idx="130">
                  <c:v>4.5457447152766886</c:v>
                </c:pt>
                <c:pt idx="131">
                  <c:v>4.5188680822188907</c:v>
                </c:pt>
                <c:pt idx="132">
                  <c:v>3.8727841559172669</c:v>
                </c:pt>
                <c:pt idx="133">
                  <c:v>3.870492513913693</c:v>
                </c:pt>
                <c:pt idx="134">
                  <c:v>2.9265325632696491</c:v>
                </c:pt>
                <c:pt idx="135">
                  <c:v>3.2135446554768041</c:v>
                </c:pt>
                <c:pt idx="136">
                  <c:v>2.693077740422313</c:v>
                </c:pt>
                <c:pt idx="137">
                  <c:v>2.3388762336001969</c:v>
                </c:pt>
                <c:pt idx="138">
                  <c:v>1.5971124146864062</c:v>
                </c:pt>
                <c:pt idx="139">
                  <c:v>1.5658853889614193</c:v>
                </c:pt>
                <c:pt idx="140">
                  <c:v>1.6261432590020013</c:v>
                </c:pt>
                <c:pt idx="141">
                  <c:v>2.6132138083707428</c:v>
                </c:pt>
                <c:pt idx="142">
                  <c:v>1.9513730222134233</c:v>
                </c:pt>
                <c:pt idx="143">
                  <c:v>1.8653306884223242</c:v>
                </c:pt>
                <c:pt idx="144">
                  <c:v>1.5192291546390031</c:v>
                </c:pt>
                <c:pt idx="145">
                  <c:v>1.0861086135877924</c:v>
                </c:pt>
                <c:pt idx="146">
                  <c:v>0.25830958506656509</c:v>
                </c:pt>
                <c:pt idx="147">
                  <c:v>0.72000718986818513</c:v>
                </c:pt>
                <c:pt idx="148">
                  <c:v>0.97134577855061732</c:v>
                </c:pt>
                <c:pt idx="149">
                  <c:v>1.3138496603004963</c:v>
                </c:pt>
                <c:pt idx="150">
                  <c:v>1.47046931545654</c:v>
                </c:pt>
                <c:pt idx="151">
                  <c:v>1.971435550258001</c:v>
                </c:pt>
                <c:pt idx="152">
                  <c:v>1.4775182342512796</c:v>
                </c:pt>
                <c:pt idx="153">
                  <c:v>2.0111092757519762</c:v>
                </c:pt>
                <c:pt idx="154">
                  <c:v>1.0978373189073722</c:v>
                </c:pt>
                <c:pt idx="155">
                  <c:v>0.59639459522050886</c:v>
                </c:pt>
                <c:pt idx="156">
                  <c:v>1.5759682645267779</c:v>
                </c:pt>
                <c:pt idx="157">
                  <c:v>1.7188583974803995</c:v>
                </c:pt>
                <c:pt idx="158">
                  <c:v>1.9799922998584956</c:v>
                </c:pt>
                <c:pt idx="159">
                  <c:v>2.2208054075433683</c:v>
                </c:pt>
                <c:pt idx="160">
                  <c:v>1.9146580301990022</c:v>
                </c:pt>
                <c:pt idx="161">
                  <c:v>2.2031195095679497</c:v>
                </c:pt>
                <c:pt idx="162">
                  <c:v>2.0629554464529054</c:v>
                </c:pt>
                <c:pt idx="163">
                  <c:v>3.0491881260915177</c:v>
                </c:pt>
                <c:pt idx="164">
                  <c:v>3.6847638242245786</c:v>
                </c:pt>
                <c:pt idx="165">
                  <c:v>4.3237046908864674</c:v>
                </c:pt>
                <c:pt idx="166">
                  <c:v>4.992078553821556</c:v>
                </c:pt>
                <c:pt idx="167">
                  <c:v>5.4119392423678931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D1-4C89-A32F-457AF9786508}"/>
            </c:ext>
          </c:extLst>
        </c:ser>
        <c:ser>
          <c:idx val="3"/>
          <c:order val="3"/>
          <c:tx>
            <c:strRef>
              <c:f>Pivot!$BA$3:$BA$4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Pivot!$AV$5:$AW$173</c:f>
              <c:multiLvlStrCache>
                <c:ptCount val="168"/>
                <c:lvl>
                  <c:pt idx="0">
                    <c:v>0:00</c:v>
                  </c:pt>
                  <c:pt idx="1">
                    <c:v>1:00</c:v>
                  </c:pt>
                  <c:pt idx="2">
                    <c:v>2:00</c:v>
                  </c:pt>
                  <c:pt idx="3">
                    <c:v>3:00</c:v>
                  </c:pt>
                  <c:pt idx="4">
                    <c:v>4:00</c:v>
                  </c:pt>
                  <c:pt idx="5">
                    <c:v>5:00</c:v>
                  </c:pt>
                  <c:pt idx="6">
                    <c:v>6:00</c:v>
                  </c:pt>
                  <c:pt idx="7">
                    <c:v>7:00</c:v>
                  </c:pt>
                  <c:pt idx="8">
                    <c:v>8:00</c:v>
                  </c:pt>
                  <c:pt idx="9">
                    <c:v>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0:00</c:v>
                  </c:pt>
                  <c:pt idx="25">
                    <c:v>1:00</c:v>
                  </c:pt>
                  <c:pt idx="26">
                    <c:v>2:00</c:v>
                  </c:pt>
                  <c:pt idx="27">
                    <c:v>3:00</c:v>
                  </c:pt>
                  <c:pt idx="28">
                    <c:v>4:00</c:v>
                  </c:pt>
                  <c:pt idx="29">
                    <c:v>5:00</c:v>
                  </c:pt>
                  <c:pt idx="30">
                    <c:v>6:00</c:v>
                  </c:pt>
                  <c:pt idx="31">
                    <c:v>7:00</c:v>
                  </c:pt>
                  <c:pt idx="32">
                    <c:v>8:00</c:v>
                  </c:pt>
                  <c:pt idx="33">
                    <c:v>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0:00</c:v>
                  </c:pt>
                  <c:pt idx="49">
                    <c:v>1:00</c:v>
                  </c:pt>
                  <c:pt idx="50">
                    <c:v>2:00</c:v>
                  </c:pt>
                  <c:pt idx="51">
                    <c:v>3:00</c:v>
                  </c:pt>
                  <c:pt idx="52">
                    <c:v>4:00</c:v>
                  </c:pt>
                  <c:pt idx="53">
                    <c:v>5:00</c:v>
                  </c:pt>
                  <c:pt idx="54">
                    <c:v>6:00</c:v>
                  </c:pt>
                  <c:pt idx="55">
                    <c:v>7:00</c:v>
                  </c:pt>
                  <c:pt idx="56">
                    <c:v>8:00</c:v>
                  </c:pt>
                  <c:pt idx="57">
                    <c:v>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0:00</c:v>
                  </c:pt>
                  <c:pt idx="73">
                    <c:v>1:00</c:v>
                  </c:pt>
                  <c:pt idx="74">
                    <c:v>2:00</c:v>
                  </c:pt>
                  <c:pt idx="75">
                    <c:v>3:00</c:v>
                  </c:pt>
                  <c:pt idx="76">
                    <c:v>4:00</c:v>
                  </c:pt>
                  <c:pt idx="77">
                    <c:v>5:00</c:v>
                  </c:pt>
                  <c:pt idx="78">
                    <c:v>6:00</c:v>
                  </c:pt>
                  <c:pt idx="79">
                    <c:v>7:00</c:v>
                  </c:pt>
                  <c:pt idx="80">
                    <c:v>8:00</c:v>
                  </c:pt>
                  <c:pt idx="81">
                    <c:v>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0:00</c:v>
                  </c:pt>
                  <c:pt idx="97">
                    <c:v>1:00</c:v>
                  </c:pt>
                  <c:pt idx="98">
                    <c:v>2:00</c:v>
                  </c:pt>
                  <c:pt idx="99">
                    <c:v>3:00</c:v>
                  </c:pt>
                  <c:pt idx="100">
                    <c:v>4:00</c:v>
                  </c:pt>
                  <c:pt idx="101">
                    <c:v>5:00</c:v>
                  </c:pt>
                  <c:pt idx="102">
                    <c:v>6:00</c:v>
                  </c:pt>
                  <c:pt idx="103">
                    <c:v>7:00</c:v>
                  </c:pt>
                  <c:pt idx="104">
                    <c:v>8:00</c:v>
                  </c:pt>
                  <c:pt idx="105">
                    <c:v>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0:00</c:v>
                  </c:pt>
                  <c:pt idx="121">
                    <c:v>1:00</c:v>
                  </c:pt>
                  <c:pt idx="122">
                    <c:v>2:00</c:v>
                  </c:pt>
                  <c:pt idx="123">
                    <c:v>3:00</c:v>
                  </c:pt>
                  <c:pt idx="124">
                    <c:v>4:00</c:v>
                  </c:pt>
                  <c:pt idx="125">
                    <c:v>5:00</c:v>
                  </c:pt>
                  <c:pt idx="126">
                    <c:v>6:00</c:v>
                  </c:pt>
                  <c:pt idx="127">
                    <c:v>7:00</c:v>
                  </c:pt>
                  <c:pt idx="128">
                    <c:v>8:00</c:v>
                  </c:pt>
                  <c:pt idx="129">
                    <c:v>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0:00</c:v>
                  </c:pt>
                  <c:pt idx="145">
                    <c:v>1:00</c:v>
                  </c:pt>
                  <c:pt idx="146">
                    <c:v>2:00</c:v>
                  </c:pt>
                  <c:pt idx="147">
                    <c:v>3:00</c:v>
                  </c:pt>
                  <c:pt idx="148">
                    <c:v>4:00</c:v>
                  </c:pt>
                  <c:pt idx="149">
                    <c:v>5:00</c:v>
                  </c:pt>
                  <c:pt idx="150">
                    <c:v>6:00</c:v>
                  </c:pt>
                  <c:pt idx="151">
                    <c:v>7:00</c:v>
                  </c:pt>
                  <c:pt idx="152">
                    <c:v>8:00</c:v>
                  </c:pt>
                  <c:pt idx="153">
                    <c:v>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2019-01-01</c:v>
                  </c:pt>
                  <c:pt idx="24">
                    <c:v>2019-01-02</c:v>
                  </c:pt>
                  <c:pt idx="48">
                    <c:v>2019-01-03</c:v>
                  </c:pt>
                  <c:pt idx="72">
                    <c:v>2019-01-04</c:v>
                  </c:pt>
                  <c:pt idx="96">
                    <c:v>2019-01-05</c:v>
                  </c:pt>
                  <c:pt idx="120">
                    <c:v>2019-01-06</c:v>
                  </c:pt>
                  <c:pt idx="144">
                    <c:v>2019-01-07</c:v>
                  </c:pt>
                </c:lvl>
              </c:multiLvlStrCache>
            </c:multiLvlStrRef>
          </c:cat>
          <c:val>
            <c:numRef>
              <c:f>Pivot!$BA$5:$BA$173</c:f>
              <c:numCache>
                <c:formatCode>General</c:formatCode>
                <c:ptCount val="1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D1-4C89-A32F-457AF9786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19680"/>
        <c:axId val="208627584"/>
      </c:lineChart>
      <c:catAx>
        <c:axId val="20861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27584"/>
        <c:crosses val="autoZero"/>
        <c:auto val="1"/>
        <c:lblAlgn val="ctr"/>
        <c:lblOffset val="100"/>
        <c:noMultiLvlLbl val="0"/>
      </c:catAx>
      <c:valAx>
        <c:axId val="208627584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1968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28577</xdr:colOff>
      <xdr:row>1</xdr:row>
      <xdr:rowOff>28576</xdr:rowOff>
    </xdr:from>
    <xdr:to>
      <xdr:col>15</xdr:col>
      <xdr:colOff>533400</xdr:colOff>
      <xdr:row>19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4761</xdr:colOff>
      <xdr:row>21</xdr:row>
      <xdr:rowOff>0</xdr:rowOff>
    </xdr:from>
    <xdr:to>
      <xdr:col>15</xdr:col>
      <xdr:colOff>504824</xdr:colOff>
      <xdr:row>39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771525</xdr:colOff>
      <xdr:row>41</xdr:row>
      <xdr:rowOff>19049</xdr:rowOff>
    </xdr:from>
    <xdr:to>
      <xdr:col>15</xdr:col>
      <xdr:colOff>519112</xdr:colOff>
      <xdr:row>58</xdr:row>
      <xdr:rowOff>161924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987.701252430554" createdVersion="6" refreshedVersion="6" minRefreshableVersion="3" recordCount="505">
  <cacheSource type="worksheet">
    <worksheetSource ref="A1:F1000" sheet="SourceData"/>
  </cacheSource>
  <cacheFields count="6">
    <cacheField name="Date" numFmtId="0">
      <sharedItems containsNonDate="0" containsDate="1" containsString="0" containsBlank="1" minDate="2019-01-01T00:00:00" maxDate="2019-01-08T00:00:00" count="8">
        <d v="2019-01-01T00:00:00"/>
        <d v="2019-01-02T00:00:00"/>
        <d v="2019-01-03T00:00:00"/>
        <d v="2019-01-04T00:00:00"/>
        <d v="2019-01-05T00:00:00"/>
        <d v="2019-01-06T00:00:00"/>
        <d v="2019-01-07T00:00:00"/>
        <m/>
      </sharedItems>
    </cacheField>
    <cacheField name="Hour" numFmtId="0">
      <sharedItems containsNonDate="0" containsDate="1" containsString="0" containsBlank="1" minDate="1899-12-30T00:00:00" maxDate="1899-12-31T00:00:00" count="25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  <m/>
      </sharedItems>
    </cacheField>
    <cacheField name="Region" numFmtId="0">
      <sharedItems containsBlank="1" count="4">
        <s v="Kucing"/>
        <s v="Macan"/>
        <s v="Pinguin"/>
        <m/>
      </sharedItems>
    </cacheField>
    <cacheField name="KPI 01" numFmtId="0">
      <sharedItems containsString="0" containsBlank="1" containsNumber="1" minValue="309.97658404853541" maxValue="954.12276558140127"/>
    </cacheField>
    <cacheField name="KPI 02" numFmtId="0">
      <sharedItems containsString="0" containsBlank="1" containsNumber="1" minValue="80.35427666417398" maxValue="99.170352708379625"/>
    </cacheField>
    <cacheField name="KPI 03" numFmtId="0">
      <sharedItems containsString="0" containsBlank="1" containsNumber="1" minValue="0.25830958506656509" maxValue="5.90370000458063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5">
  <r>
    <x v="0"/>
    <x v="0"/>
    <x v="0"/>
    <n v="478.34022202830829"/>
    <n v="92.677426003748479"/>
    <n v="4.452721591877097"/>
  </r>
  <r>
    <x v="0"/>
    <x v="1"/>
    <x v="0"/>
    <n v="411.32864627211205"/>
    <n v="92.340227688069632"/>
    <n v="4.2277630099443018"/>
  </r>
  <r>
    <x v="0"/>
    <x v="2"/>
    <x v="0"/>
    <n v="409.08539731870536"/>
    <n v="91.393078325244616"/>
    <n v="3.9577905379387119"/>
  </r>
  <r>
    <x v="0"/>
    <x v="3"/>
    <x v="0"/>
    <n v="341.66296143097981"/>
    <n v="91.492729080430976"/>
    <n v="4.0052020274649731"/>
  </r>
  <r>
    <x v="0"/>
    <x v="4"/>
    <x v="0"/>
    <n v="309.97658404853541"/>
    <n v="91.231260488582564"/>
    <n v="4.216314279288131"/>
  </r>
  <r>
    <x v="0"/>
    <x v="5"/>
    <x v="0"/>
    <n v="330.10875599758583"/>
    <n v="90.440725079143718"/>
    <n v="4.0148846265642026"/>
  </r>
  <r>
    <x v="0"/>
    <x v="6"/>
    <x v="0"/>
    <n v="361.68911220123488"/>
    <n v="89.56656942603712"/>
    <n v="3.3931371487909914"/>
  </r>
  <r>
    <x v="0"/>
    <x v="7"/>
    <x v="0"/>
    <n v="365.94214591249903"/>
    <n v="90.268963145540113"/>
    <n v="3.0141400062858894"/>
  </r>
  <r>
    <x v="0"/>
    <x v="8"/>
    <x v="0"/>
    <n v="386.32303024835028"/>
    <n v="91.263175159707316"/>
    <n v="2.8727897182105355"/>
  </r>
  <r>
    <x v="0"/>
    <x v="9"/>
    <x v="0"/>
    <n v="448.11990742539206"/>
    <n v="91.63827506862043"/>
    <n v="3.6082736250739491"/>
  </r>
  <r>
    <x v="0"/>
    <x v="10"/>
    <x v="0"/>
    <n v="475.36732292645223"/>
    <n v="91.36632337232713"/>
    <n v="4.480536764580803"/>
  </r>
  <r>
    <x v="0"/>
    <x v="11"/>
    <x v="0"/>
    <n v="513.06760006944819"/>
    <n v="91.640349189873916"/>
    <n v="5.2281871580064667"/>
  </r>
  <r>
    <x v="0"/>
    <x v="12"/>
    <x v="0"/>
    <n v="569.87419319905439"/>
    <n v="92.41712163974195"/>
    <n v="4.9876276320659736"/>
  </r>
  <r>
    <x v="0"/>
    <x v="13"/>
    <x v="0"/>
    <n v="609.46909743474214"/>
    <n v="92.797879897616696"/>
    <n v="5.1812692672906744"/>
  </r>
  <r>
    <x v="0"/>
    <x v="14"/>
    <x v="0"/>
    <n v="643.30257930236519"/>
    <n v="93.085632150533499"/>
    <n v="4.8443679265889896"/>
  </r>
  <r>
    <x v="0"/>
    <x v="15"/>
    <x v="0"/>
    <n v="682.60243411628846"/>
    <n v="92.510649334767024"/>
    <n v="4.8673172431203895"/>
  </r>
  <r>
    <x v="0"/>
    <x v="16"/>
    <x v="0"/>
    <n v="740.84577952723055"/>
    <n v="92.496241317392176"/>
    <n v="4.8521825333054096"/>
  </r>
  <r>
    <x v="0"/>
    <x v="17"/>
    <x v="0"/>
    <n v="717.40957172498281"/>
    <n v="92.662311203912992"/>
    <n v="5.8095134317073498"/>
  </r>
  <r>
    <x v="0"/>
    <x v="18"/>
    <x v="0"/>
    <n v="696.751814477724"/>
    <n v="91.894856448154798"/>
    <n v="5.3347099566538541"/>
  </r>
  <r>
    <x v="0"/>
    <x v="19"/>
    <x v="0"/>
    <n v="679.01388603790986"/>
    <n v="91.586698268944758"/>
    <n v="5.0136754906884908"/>
  </r>
  <r>
    <x v="0"/>
    <x v="20"/>
    <x v="0"/>
    <n v="652.15483911147385"/>
    <n v="91.379132976078807"/>
    <n v="4.8798089252793071"/>
  </r>
  <r>
    <x v="0"/>
    <x v="21"/>
    <x v="0"/>
    <n v="614.82745399672069"/>
    <n v="90.537167752842024"/>
    <n v="5.3162632377617607"/>
  </r>
  <r>
    <x v="0"/>
    <x v="22"/>
    <x v="0"/>
    <n v="555.77411819127701"/>
    <n v="90.333091200031191"/>
    <n v="4.8995437735037326"/>
  </r>
  <r>
    <x v="0"/>
    <x v="23"/>
    <x v="0"/>
    <n v="521.94360331891676"/>
    <n v="89.866623985945893"/>
    <n v="4.972486058426802"/>
  </r>
  <r>
    <x v="1"/>
    <x v="0"/>
    <x v="0"/>
    <n v="458.90575398125117"/>
    <n v="89.388583562480775"/>
    <n v="5.5468396135542761"/>
  </r>
  <r>
    <x v="1"/>
    <x v="1"/>
    <x v="0"/>
    <n v="406.85767445675464"/>
    <n v="88.960116221923016"/>
    <n v="4.5718007480119933"/>
  </r>
  <r>
    <x v="1"/>
    <x v="2"/>
    <x v="0"/>
    <n v="384.99331308705507"/>
    <n v="88.908352695580973"/>
    <n v="4.4073468441778312"/>
  </r>
  <r>
    <x v="1"/>
    <x v="3"/>
    <x v="0"/>
    <n v="386.40952701730242"/>
    <n v="89.377805402136602"/>
    <n v="5.1473141535141194"/>
  </r>
  <r>
    <x v="1"/>
    <x v="4"/>
    <x v="0"/>
    <n v="332.9406517936917"/>
    <n v="89.331328513514919"/>
    <n v="4.6338723489828233"/>
  </r>
  <r>
    <x v="1"/>
    <x v="5"/>
    <x v="0"/>
    <n v="312.95514817942109"/>
    <n v="89.182897674959634"/>
    <n v="4.3299784667367947"/>
  </r>
  <r>
    <x v="1"/>
    <x v="6"/>
    <x v="0"/>
    <n v="343.34646882056035"/>
    <n v="88.983842706635997"/>
    <n v="3.4545786125863955"/>
  </r>
  <r>
    <x v="1"/>
    <x v="7"/>
    <x v="0"/>
    <n v="381.96701279556646"/>
    <n v="88.91641306498137"/>
    <n v="4.3425940448797533"/>
  </r>
  <r>
    <x v="1"/>
    <x v="8"/>
    <x v="0"/>
    <n v="369.55965135526651"/>
    <n v="88.959644102687363"/>
    <n v="4.5144160567472031"/>
  </r>
  <r>
    <x v="1"/>
    <x v="9"/>
    <x v="0"/>
    <n v="437.99199495227708"/>
    <n v="88.38246819146832"/>
    <n v="3.6572480581572639"/>
  </r>
  <r>
    <x v="1"/>
    <x v="10"/>
    <x v="0"/>
    <n v="480.29307643014579"/>
    <n v="88.810906038825181"/>
    <n v="4.6085674297581081"/>
  </r>
  <r>
    <x v="1"/>
    <x v="11"/>
    <x v="0"/>
    <n v="512.60202642736954"/>
    <n v="88.967017634223879"/>
    <n v="4.8606215917436435"/>
  </r>
  <r>
    <x v="1"/>
    <x v="12"/>
    <x v="0"/>
    <n v="550.78949983836162"/>
    <n v="88.04755673474213"/>
    <n v="5.7407634670308028"/>
  </r>
  <r>
    <x v="1"/>
    <x v="13"/>
    <x v="0"/>
    <n v="597.66617159497628"/>
    <n v="87.612214897477244"/>
    <n v="5.354430171525161"/>
  </r>
  <r>
    <x v="1"/>
    <x v="14"/>
    <x v="0"/>
    <n v="672.98010647195349"/>
    <n v="88.09477842241364"/>
    <n v="4.984411834374523"/>
  </r>
  <r>
    <x v="1"/>
    <x v="15"/>
    <x v="0"/>
    <n v="680.12401061424077"/>
    <n v="87.709169821628308"/>
    <n v="5.6763247308866713"/>
  </r>
  <r>
    <x v="1"/>
    <x v="16"/>
    <x v="0"/>
    <n v="689.51448620440328"/>
    <n v="88.329819933676404"/>
    <n v="4.847603163764961"/>
  </r>
  <r>
    <x v="1"/>
    <x v="17"/>
    <x v="0"/>
    <n v="735.03553503520709"/>
    <n v="88.909710638997055"/>
    <n v="3.9004643231442895"/>
  </r>
  <r>
    <x v="1"/>
    <x v="18"/>
    <x v="0"/>
    <n v="731.14189780828531"/>
    <n v="88.55157573784625"/>
    <n v="3.8660882761330608"/>
  </r>
  <r>
    <x v="1"/>
    <x v="19"/>
    <x v="0"/>
    <n v="711.02864219292769"/>
    <n v="88.336821612655726"/>
    <n v="3.7101328435387404"/>
  </r>
  <r>
    <x v="1"/>
    <x v="20"/>
    <x v="0"/>
    <n v="678.61642141460129"/>
    <n v="89.253863978208344"/>
    <n v="3.1166677325666048"/>
  </r>
  <r>
    <x v="1"/>
    <x v="21"/>
    <x v="0"/>
    <n v="606.51749040459299"/>
    <n v="88.683220018887809"/>
    <n v="3.9107756984568902"/>
  </r>
  <r>
    <x v="1"/>
    <x v="22"/>
    <x v="0"/>
    <n v="569.22285061028208"/>
    <n v="88.517289791481758"/>
    <n v="3.7990330785408011"/>
  </r>
  <r>
    <x v="1"/>
    <x v="23"/>
    <x v="0"/>
    <n v="553.34710615487256"/>
    <n v="88.606414786126038"/>
    <n v="3.5843079289256692"/>
  </r>
  <r>
    <x v="2"/>
    <x v="0"/>
    <x v="0"/>
    <n v="483.46681822696485"/>
    <n v="88.874977436817247"/>
    <n v="4.3280002959721529"/>
  </r>
  <r>
    <x v="2"/>
    <x v="1"/>
    <x v="0"/>
    <n v="446.16252520628547"/>
    <n v="89.521427861600998"/>
    <n v="5.0515461200049696"/>
  </r>
  <r>
    <x v="2"/>
    <x v="2"/>
    <x v="0"/>
    <n v="375.82510293892329"/>
    <n v="88.724282031265787"/>
    <n v="4.2058431885675622"/>
  </r>
  <r>
    <x v="2"/>
    <x v="3"/>
    <x v="0"/>
    <n v="324.85400576182104"/>
    <n v="87.889747549059905"/>
    <n v="3.8174617816354526"/>
  </r>
  <r>
    <x v="2"/>
    <x v="4"/>
    <x v="0"/>
    <n v="339.74390697879574"/>
    <n v="87.693752030959061"/>
    <n v="4.775389824996191"/>
  </r>
  <r>
    <x v="2"/>
    <x v="5"/>
    <x v="0"/>
    <n v="341.56852699028042"/>
    <n v="87.778627560455433"/>
    <n v="4.2592120544706642"/>
  </r>
  <r>
    <x v="2"/>
    <x v="6"/>
    <x v="0"/>
    <n v="340.06306398049668"/>
    <n v="87.577544251739468"/>
    <n v="5.1152541070885347"/>
  </r>
  <r>
    <x v="2"/>
    <x v="7"/>
    <x v="0"/>
    <n v="371.94559092506643"/>
    <n v="86.722824544378469"/>
    <n v="4.3661732246119005"/>
  </r>
  <r>
    <x v="2"/>
    <x v="8"/>
    <x v="0"/>
    <n v="399.98149921316315"/>
    <n v="86.158133513201861"/>
    <n v="4.4931919001487657"/>
  </r>
  <r>
    <x v="2"/>
    <x v="9"/>
    <x v="0"/>
    <n v="459.48092303002232"/>
    <n v="86.282026851981783"/>
    <n v="4.9372567100493807"/>
  </r>
  <r>
    <x v="2"/>
    <x v="10"/>
    <x v="0"/>
    <n v="455.41312635998372"/>
    <n v="85.810393727096681"/>
    <n v="3.9755088637772036"/>
  </r>
  <r>
    <x v="2"/>
    <x v="11"/>
    <x v="0"/>
    <n v="532.30064181065507"/>
    <n v="86.320987688778445"/>
    <n v="4.3520481042011303"/>
  </r>
  <r>
    <x v="2"/>
    <x v="12"/>
    <x v="0"/>
    <n v="557.81626162745317"/>
    <n v="86.426453789818424"/>
    <n v="5.2328892590867078"/>
  </r>
  <r>
    <x v="2"/>
    <x v="13"/>
    <x v="0"/>
    <n v="644.45237872364726"/>
    <n v="86.691072395530185"/>
    <n v="4.9734084711608118"/>
  </r>
  <r>
    <x v="2"/>
    <x v="14"/>
    <x v="0"/>
    <n v="703.97308255995767"/>
    <n v="85.800368044644216"/>
    <n v="5.5423166751715751"/>
  </r>
  <r>
    <x v="2"/>
    <x v="15"/>
    <x v="0"/>
    <n v="689.88549782846735"/>
    <n v="86.672122670203393"/>
    <n v="5.1355471222337528"/>
  </r>
  <r>
    <x v="2"/>
    <x v="16"/>
    <x v="0"/>
    <n v="720.99459174525907"/>
    <n v="87.408559235854028"/>
    <n v="4.7746125382530309"/>
  </r>
  <r>
    <x v="2"/>
    <x v="17"/>
    <x v="0"/>
    <n v="745.16145754898207"/>
    <n v="87.798822230464722"/>
    <n v="4.05886742096002"/>
  </r>
  <r>
    <x v="2"/>
    <x v="18"/>
    <x v="0"/>
    <n v="734.43344722197639"/>
    <n v="87.01998811425895"/>
    <n v="4.7373506110245218"/>
  </r>
  <r>
    <x v="2"/>
    <x v="19"/>
    <x v="0"/>
    <n v="716.21437201986998"/>
    <n v="86.193556573527658"/>
    <n v="4.0124246809893256"/>
  </r>
  <r>
    <x v="2"/>
    <x v="20"/>
    <x v="0"/>
    <n v="664.73881834803171"/>
    <n v="85.854668353180557"/>
    <n v="4.8993377990031375"/>
  </r>
  <r>
    <x v="2"/>
    <x v="21"/>
    <x v="0"/>
    <n v="619.1905687738913"/>
    <n v="86.580056831874757"/>
    <n v="5.2303634598442477"/>
  </r>
  <r>
    <x v="2"/>
    <x v="22"/>
    <x v="0"/>
    <n v="557.77500154589666"/>
    <n v="85.699770935622922"/>
    <n v="4.7758746800808183"/>
  </r>
  <r>
    <x v="2"/>
    <x v="23"/>
    <x v="0"/>
    <n v="511.03290952752144"/>
    <n v="85.45810261714233"/>
    <n v="4.0730220345187051"/>
  </r>
  <r>
    <x v="3"/>
    <x v="0"/>
    <x v="0"/>
    <n v="456.279357687176"/>
    <n v="84.573474557373103"/>
    <n v="4.4104433849932319"/>
  </r>
  <r>
    <x v="3"/>
    <x v="1"/>
    <x v="0"/>
    <n v="452.40140443283065"/>
    <n v="84.174840766114826"/>
    <n v="3.8382373558990821"/>
  </r>
  <r>
    <x v="3"/>
    <x v="2"/>
    <x v="0"/>
    <n v="409.56825624328059"/>
    <n v="83.357714637331597"/>
    <n v="4.435369506866393"/>
  </r>
  <r>
    <x v="3"/>
    <x v="3"/>
    <x v="0"/>
    <n v="362.63098926814621"/>
    <n v="84.20270458405993"/>
    <n v="4.4732700136577002"/>
  </r>
  <r>
    <x v="3"/>
    <x v="4"/>
    <x v="0"/>
    <n v="355.50863632599163"/>
    <n v="84.005322201736973"/>
    <n v="4.5291165790524701"/>
  </r>
  <r>
    <x v="3"/>
    <x v="5"/>
    <x v="0"/>
    <n v="351.48604667419215"/>
    <n v="84.143437209794115"/>
    <n v="4.1273769911298119"/>
  </r>
  <r>
    <x v="3"/>
    <x v="6"/>
    <x v="0"/>
    <n v="339.22225562821751"/>
    <n v="85.002727827437454"/>
    <n v="3.2507238458438286"/>
  </r>
  <r>
    <x v="3"/>
    <x v="7"/>
    <x v="0"/>
    <n v="323.39980799800941"/>
    <n v="85.27851649035911"/>
    <n v="4.2372130735475322"/>
  </r>
  <r>
    <x v="3"/>
    <x v="8"/>
    <x v="0"/>
    <n v="406.9388251844365"/>
    <n v="85.014420401031558"/>
    <n v="3.4519647851044701"/>
  </r>
  <r>
    <x v="3"/>
    <x v="9"/>
    <x v="0"/>
    <n v="435.97366144041962"/>
    <n v="84.358076449207061"/>
    <n v="3.2101759459549823"/>
  </r>
  <r>
    <x v="3"/>
    <x v="10"/>
    <x v="0"/>
    <n v="456.80834661931084"/>
    <n v="84.062217006717276"/>
    <n v="2.2611405091366552"/>
  </r>
  <r>
    <x v="3"/>
    <x v="11"/>
    <x v="0"/>
    <n v="518.49547308716569"/>
    <n v="84.803517682586431"/>
    <n v="2.9459666575593153"/>
  </r>
  <r>
    <x v="3"/>
    <x v="12"/>
    <x v="0"/>
    <n v="556.73131196946758"/>
    <n v="84.87627667168158"/>
    <n v="3.4472115230343991"/>
  </r>
  <r>
    <x v="3"/>
    <x v="13"/>
    <x v="0"/>
    <n v="617.50488083546861"/>
    <n v="85.329595718617114"/>
    <n v="4.285405307424873"/>
  </r>
  <r>
    <x v="3"/>
    <x v="14"/>
    <x v="0"/>
    <n v="666.32876885870019"/>
    <n v="85.455303916068985"/>
    <n v="3.3400726510891747"/>
  </r>
  <r>
    <x v="3"/>
    <x v="15"/>
    <x v="0"/>
    <n v="714.43475942815087"/>
    <n v="86.336114685397121"/>
    <n v="3.2531886707708031"/>
  </r>
  <r>
    <x v="3"/>
    <x v="16"/>
    <x v="0"/>
    <n v="738.06015757223167"/>
    <n v="87.200356200026491"/>
    <n v="4.2232811026678823"/>
  </r>
  <r>
    <x v="3"/>
    <x v="17"/>
    <x v="0"/>
    <n v="759.26860267030872"/>
    <n v="86.900917318769203"/>
    <n v="4.6473490472671424"/>
  </r>
  <r>
    <x v="3"/>
    <x v="18"/>
    <x v="0"/>
    <n v="738.41250376288133"/>
    <n v="86.91872797345907"/>
    <n v="5.4520485955098996"/>
  </r>
  <r>
    <x v="3"/>
    <x v="19"/>
    <x v="0"/>
    <n v="730.40621459069791"/>
    <n v="87.567412897594167"/>
    <n v="5.200043784487967"/>
  </r>
  <r>
    <x v="3"/>
    <x v="20"/>
    <x v="0"/>
    <n v="656.8504843018228"/>
    <n v="86.687331546968664"/>
    <n v="4.2499097215022701"/>
  </r>
  <r>
    <x v="3"/>
    <x v="21"/>
    <x v="0"/>
    <n v="632.72364176997644"/>
    <n v="85.763928777437258"/>
    <n v="3.2899866122870201"/>
  </r>
  <r>
    <x v="3"/>
    <x v="22"/>
    <x v="0"/>
    <n v="564.51679583259295"/>
    <n v="85.196941165583667"/>
    <n v="3.1501346370918313"/>
  </r>
  <r>
    <x v="3"/>
    <x v="23"/>
    <x v="0"/>
    <n v="522.88493790592941"/>
    <n v="85.272782980196908"/>
    <n v="3.0598178995530976"/>
  </r>
  <r>
    <x v="4"/>
    <x v="0"/>
    <x v="0"/>
    <n v="452.54912065572864"/>
    <n v="84.822558810876671"/>
    <n v="2.9856988361631998"/>
  </r>
  <r>
    <x v="4"/>
    <x v="1"/>
    <x v="0"/>
    <n v="456.04350114584906"/>
    <n v="85.413386385218402"/>
    <n v="2.7029628091646711"/>
  </r>
  <r>
    <x v="4"/>
    <x v="2"/>
    <x v="0"/>
    <n v="415.9979868428544"/>
    <n v="85.689794045805769"/>
    <n v="2.6593435954321691"/>
  </r>
  <r>
    <x v="4"/>
    <x v="3"/>
    <x v="0"/>
    <n v="328.2547543515816"/>
    <n v="84.971045788943186"/>
    <n v="3.2824187961931655"/>
  </r>
  <r>
    <x v="4"/>
    <x v="4"/>
    <x v="0"/>
    <n v="314.99391100491295"/>
    <n v="84.664286585547856"/>
    <n v="3.9000261282087934"/>
  </r>
  <r>
    <x v="4"/>
    <x v="5"/>
    <x v="0"/>
    <n v="329.99275658380617"/>
    <n v="84.391560257198847"/>
    <n v="3.0990641626554813"/>
  </r>
  <r>
    <x v="4"/>
    <x v="6"/>
    <x v="0"/>
    <n v="360.63158631428689"/>
    <n v="84.792335118522743"/>
    <n v="2.4528281034277262"/>
  </r>
  <r>
    <x v="4"/>
    <x v="7"/>
    <x v="0"/>
    <n v="363.69917440704916"/>
    <n v="83.994692897390507"/>
    <n v="1.8783142040504386"/>
  </r>
  <r>
    <x v="4"/>
    <x v="8"/>
    <x v="0"/>
    <n v="389.86905281337516"/>
    <n v="84.263520292667749"/>
    <n v="1.9526498771185092"/>
  </r>
  <r>
    <x v="4"/>
    <x v="9"/>
    <x v="0"/>
    <n v="440.21481989441429"/>
    <n v="83.845725178179549"/>
    <n v="2.546835261942654"/>
  </r>
  <r>
    <x v="4"/>
    <x v="10"/>
    <x v="0"/>
    <n v="476.89550442842148"/>
    <n v="84.570464265421009"/>
    <n v="3.0628154827234746"/>
  </r>
  <r>
    <x v="4"/>
    <x v="11"/>
    <x v="0"/>
    <n v="518.03065381138435"/>
    <n v="83.931481994218231"/>
    <n v="3.6609890779163807"/>
  </r>
  <r>
    <x v="4"/>
    <x v="12"/>
    <x v="0"/>
    <n v="603.95294164329562"/>
    <n v="82.995027820107182"/>
    <n v="4.5355939164371799"/>
  </r>
  <r>
    <x v="4"/>
    <x v="13"/>
    <x v="0"/>
    <n v="647.64791946868695"/>
    <n v="83.221977702468337"/>
    <n v="4.4593102088028216"/>
  </r>
  <r>
    <x v="4"/>
    <x v="14"/>
    <x v="0"/>
    <n v="694.34795238444065"/>
    <n v="83.875935325969081"/>
    <n v="5.3729317443609901"/>
  </r>
  <r>
    <x v="4"/>
    <x v="15"/>
    <x v="0"/>
    <n v="686.7208061282455"/>
    <n v="83.798593906067069"/>
    <n v="5.3315555602214957"/>
  </r>
  <r>
    <x v="4"/>
    <x v="16"/>
    <x v="0"/>
    <n v="724.16860693593912"/>
    <n v="83.328235197810116"/>
    <n v="5.2325705556065429"/>
  </r>
  <r>
    <x v="4"/>
    <x v="17"/>
    <x v="0"/>
    <n v="740.82532507989083"/>
    <n v="83.424904413151239"/>
    <n v="4.8103785028417905"/>
  </r>
  <r>
    <x v="4"/>
    <x v="18"/>
    <x v="0"/>
    <n v="717.83422234250565"/>
    <n v="83.839233835490987"/>
    <n v="4.5903328956417599"/>
  </r>
  <r>
    <x v="4"/>
    <x v="19"/>
    <x v="0"/>
    <n v="724.2831718759868"/>
    <n v="83.038101725751403"/>
    <n v="4.4456127602348001"/>
  </r>
  <r>
    <x v="4"/>
    <x v="20"/>
    <x v="0"/>
    <n v="687.83409573852214"/>
    <n v="83.379410870776411"/>
    <n v="4.4354279320564585"/>
  </r>
  <r>
    <x v="4"/>
    <x v="21"/>
    <x v="0"/>
    <n v="614.3421836149322"/>
    <n v="83.773629638786758"/>
    <n v="3.8844218175205083"/>
  </r>
  <r>
    <x v="4"/>
    <x v="22"/>
    <x v="0"/>
    <n v="551.47344960529233"/>
    <n v="83.018380384242121"/>
    <n v="3.9412988040354251"/>
  </r>
  <r>
    <x v="4"/>
    <x v="23"/>
    <x v="0"/>
    <n v="558.42509301023472"/>
    <n v="83.949369594762388"/>
    <n v="3.644708748892509"/>
  </r>
  <r>
    <x v="5"/>
    <x v="0"/>
    <x v="0"/>
    <n v="487.74150182724321"/>
    <n v="84.260073751620425"/>
    <n v="2.6829464493495676"/>
  </r>
  <r>
    <x v="5"/>
    <x v="1"/>
    <x v="0"/>
    <n v="401.09905089162243"/>
    <n v="83.30541029612327"/>
    <n v="2.1812678085653645"/>
  </r>
  <r>
    <x v="5"/>
    <x v="2"/>
    <x v="0"/>
    <n v="378.89955148079684"/>
    <n v="82.894092665778842"/>
    <n v="2.661217184365503"/>
  </r>
  <r>
    <x v="5"/>
    <x v="3"/>
    <x v="0"/>
    <n v="337.44798560301479"/>
    <n v="82.074188435108425"/>
    <n v="2.9823008679358822"/>
  </r>
  <r>
    <x v="5"/>
    <x v="4"/>
    <x v="0"/>
    <n v="315.84433512128811"/>
    <n v="83.066781302740068"/>
    <n v="1.9969740966176479"/>
  </r>
  <r>
    <x v="5"/>
    <x v="5"/>
    <x v="0"/>
    <n v="337.03591343954417"/>
    <n v="82.913702863763177"/>
    <n v="2.3931813705569249"/>
  </r>
  <r>
    <x v="5"/>
    <x v="6"/>
    <x v="0"/>
    <n v="343.74275303314693"/>
    <n v="83.320849122156815"/>
    <n v="2.1481731898639138"/>
  </r>
  <r>
    <x v="5"/>
    <x v="7"/>
    <x v="0"/>
    <n v="365.68750271590989"/>
    <n v="82.702807070389113"/>
    <n v="3.0131948408826719"/>
  </r>
  <r>
    <x v="5"/>
    <x v="8"/>
    <x v="0"/>
    <n v="394.37811087076858"/>
    <n v="82.078473255809683"/>
    <n v="2.1405510457972641"/>
  </r>
  <r>
    <x v="5"/>
    <x v="9"/>
    <x v="0"/>
    <n v="417.27606755598373"/>
    <n v="82.686939535897608"/>
    <n v="1.7215741144712962"/>
  </r>
  <r>
    <x v="5"/>
    <x v="10"/>
    <x v="0"/>
    <n v="456.1362654671762"/>
    <n v="81.778942449822566"/>
    <n v="1.6452432687394927"/>
  </r>
  <r>
    <x v="5"/>
    <x v="11"/>
    <x v="0"/>
    <n v="516.84992804392186"/>
    <n v="82.40050033936906"/>
    <n v="2.2017548863715781"/>
  </r>
  <r>
    <x v="5"/>
    <x v="12"/>
    <x v="0"/>
    <n v="583.61838227024737"/>
    <n v="83.356093234212636"/>
    <n v="3.0459725952864627"/>
  </r>
  <r>
    <x v="5"/>
    <x v="13"/>
    <x v="0"/>
    <n v="637.0462730779185"/>
    <n v="84.274008789963688"/>
    <n v="2.7125220446338894"/>
  </r>
  <r>
    <x v="5"/>
    <x v="14"/>
    <x v="0"/>
    <n v="679.45734531062931"/>
    <n v="84.730555703613561"/>
    <n v="2.0532964984034292"/>
  </r>
  <r>
    <x v="5"/>
    <x v="15"/>
    <x v="0"/>
    <n v="717.46848880142397"/>
    <n v="85.051511242675858"/>
    <n v="2.519556317721098"/>
  </r>
  <r>
    <x v="5"/>
    <x v="16"/>
    <x v="0"/>
    <n v="718.27375250056014"/>
    <n v="84.471904735784292"/>
    <n v="1.6727868313342322"/>
  </r>
  <r>
    <x v="5"/>
    <x v="17"/>
    <x v="0"/>
    <n v="738.47092064059802"/>
    <n v="84.003071343048035"/>
    <n v="1.3272847250065918"/>
  </r>
  <r>
    <x v="5"/>
    <x v="18"/>
    <x v="0"/>
    <n v="737.2543481371448"/>
    <n v="83.807636876690822"/>
    <n v="1.3486825178474211"/>
  </r>
  <r>
    <x v="5"/>
    <x v="19"/>
    <x v="0"/>
    <n v="715.37156159063215"/>
    <n v="83.251464150908674"/>
    <n v="1.9851435549605041"/>
  </r>
  <r>
    <x v="5"/>
    <x v="20"/>
    <x v="0"/>
    <n v="686.50182858517439"/>
    <n v="83.674939982557945"/>
    <n v="2.4323846470168844"/>
  </r>
  <r>
    <x v="5"/>
    <x v="21"/>
    <x v="0"/>
    <n v="618.40677099290292"/>
    <n v="84.137802995926478"/>
    <n v="1.7954118596630739"/>
  </r>
  <r>
    <x v="5"/>
    <x v="22"/>
    <x v="0"/>
    <n v="553.20757104974359"/>
    <n v="84.92991218876216"/>
    <n v="1.8673535940252224"/>
  </r>
  <r>
    <x v="5"/>
    <x v="23"/>
    <x v="0"/>
    <n v="504.94860070965461"/>
    <n v="84.156424487897382"/>
    <n v="2.7507993627278347"/>
  </r>
  <r>
    <x v="6"/>
    <x v="0"/>
    <x v="0"/>
    <n v="453.46616444097828"/>
    <n v="83.614203304915378"/>
    <n v="2.7868328895932661"/>
  </r>
  <r>
    <x v="6"/>
    <x v="1"/>
    <x v="0"/>
    <n v="426.55104693111059"/>
    <n v="83.633874041700722"/>
    <n v="2.2828462572378179"/>
  </r>
  <r>
    <x v="6"/>
    <x v="2"/>
    <x v="0"/>
    <n v="382.44913254256488"/>
    <n v="84.414748778488203"/>
    <n v="2.906950872250027"/>
  </r>
  <r>
    <x v="6"/>
    <x v="3"/>
    <x v="0"/>
    <n v="365.72583300030772"/>
    <n v="85.400907834822533"/>
    <n v="3.4444011761150977"/>
  </r>
  <r>
    <x v="6"/>
    <x v="4"/>
    <x v="0"/>
    <n v="332.96264296614549"/>
    <n v="85.521725864497526"/>
    <n v="3.0843119192482531"/>
  </r>
  <r>
    <x v="6"/>
    <x v="5"/>
    <x v="0"/>
    <n v="332.38718517666337"/>
    <n v="84.588182123038322"/>
    <n v="3.7405276091563855"/>
  </r>
  <r>
    <x v="6"/>
    <x v="6"/>
    <x v="0"/>
    <n v="332.35136683378613"/>
    <n v="85.569553039656071"/>
    <n v="4.1673864857936946"/>
  </r>
  <r>
    <x v="6"/>
    <x v="7"/>
    <x v="0"/>
    <n v="371.41008645237991"/>
    <n v="84.980487578334191"/>
    <n v="4.5990833750309514"/>
  </r>
  <r>
    <x v="6"/>
    <x v="8"/>
    <x v="0"/>
    <n v="397.12786028448875"/>
    <n v="85.575602839064842"/>
    <n v="5.4900618491144497"/>
  </r>
  <r>
    <x v="6"/>
    <x v="9"/>
    <x v="0"/>
    <n v="464.56553570078603"/>
    <n v="84.590559580248751"/>
    <n v="4.5924567234330462"/>
  </r>
  <r>
    <x v="6"/>
    <x v="10"/>
    <x v="0"/>
    <n v="493.75436837564587"/>
    <n v="84.281786772651884"/>
    <n v="3.6275086652107102"/>
  </r>
  <r>
    <x v="6"/>
    <x v="11"/>
    <x v="0"/>
    <n v="517.53128763883797"/>
    <n v="85.240217951041785"/>
    <n v="4.1358675693372877"/>
  </r>
  <r>
    <x v="6"/>
    <x v="12"/>
    <x v="0"/>
    <n v="571.67419207954424"/>
    <n v="85.479954342055237"/>
    <n v="5.0525261677627693"/>
  </r>
  <r>
    <x v="6"/>
    <x v="13"/>
    <x v="0"/>
    <n v="656.81666657130847"/>
    <n v="85.990364025014841"/>
    <n v="4.1203549951560374"/>
  </r>
  <r>
    <x v="6"/>
    <x v="14"/>
    <x v="0"/>
    <n v="700.41275258135238"/>
    <n v="86.649473964037128"/>
    <n v="3.5112183765021334"/>
  </r>
  <r>
    <x v="6"/>
    <x v="15"/>
    <x v="0"/>
    <n v="694.19614279479947"/>
    <n v="86.380456117786892"/>
    <n v="3.6264485109538525"/>
  </r>
  <r>
    <x v="6"/>
    <x v="16"/>
    <x v="0"/>
    <n v="733.30817356102375"/>
    <n v="86.143901762308928"/>
    <n v="4.3481741221382038"/>
  </r>
  <r>
    <x v="6"/>
    <x v="17"/>
    <x v="0"/>
    <n v="712.94827682164714"/>
    <n v="86.001144447756914"/>
    <n v="4.3721140595114809"/>
  </r>
  <r>
    <x v="6"/>
    <x v="18"/>
    <x v="0"/>
    <n v="714.13676517457156"/>
    <n v="86.175326138840717"/>
    <n v="4.1333642271338098"/>
  </r>
  <r>
    <x v="6"/>
    <x v="19"/>
    <x v="0"/>
    <n v="707.84029715022029"/>
    <n v="86.666829342472454"/>
    <n v="4.4589134417431024"/>
  </r>
  <r>
    <x v="6"/>
    <x v="20"/>
    <x v="0"/>
    <n v="648.95360796159423"/>
    <n v="86.249960014380335"/>
    <n v="4.9684919449433123"/>
  </r>
  <r>
    <x v="6"/>
    <x v="21"/>
    <x v="0"/>
    <n v="644.94536230031758"/>
    <n v="85.75018148354458"/>
    <n v="5.8518129141781889"/>
  </r>
  <r>
    <x v="6"/>
    <x v="22"/>
    <x v="0"/>
    <n v="591.64638895000439"/>
    <n v="85.627344606028004"/>
    <n v="5.0697002430566993"/>
  </r>
  <r>
    <x v="6"/>
    <x v="23"/>
    <x v="0"/>
    <n v="541.40871277145379"/>
    <n v="85.621513800736977"/>
    <n v="4.9543771747743985"/>
  </r>
  <r>
    <x v="0"/>
    <x v="0"/>
    <x v="1"/>
    <n v="561.76573797510832"/>
    <n v="85.582381793446601"/>
    <n v="4.3613132262576162"/>
  </r>
  <r>
    <x v="0"/>
    <x v="1"/>
    <x v="1"/>
    <n v="510.22406544515439"/>
    <n v="84.775097885292709"/>
    <n v="3.4187486797365656"/>
  </r>
  <r>
    <x v="0"/>
    <x v="2"/>
    <x v="1"/>
    <n v="503.07613540813281"/>
    <n v="85.456319297663512"/>
    <n v="3.0934684688819623"/>
  </r>
  <r>
    <x v="0"/>
    <x v="3"/>
    <x v="1"/>
    <n v="452.73744831899592"/>
    <n v="85.46265770897233"/>
    <n v="2.2069157338567731"/>
  </r>
  <r>
    <x v="0"/>
    <x v="4"/>
    <x v="1"/>
    <n v="448.39175757593279"/>
    <n v="85.717753896592356"/>
    <n v="2.6221101747024598"/>
  </r>
  <r>
    <x v="0"/>
    <x v="5"/>
    <x v="1"/>
    <n v="437.2644952805706"/>
    <n v="86.170069226387739"/>
    <n v="3.6219930189446283"/>
  </r>
  <r>
    <x v="0"/>
    <x v="6"/>
    <x v="1"/>
    <n v="420.97523231109665"/>
    <n v="86.794747036657142"/>
    <n v="3.3530048867537903"/>
  </r>
  <r>
    <x v="0"/>
    <x v="7"/>
    <x v="1"/>
    <n v="443.40652335681807"/>
    <n v="86.295279741220256"/>
    <n v="3.1127528897970307"/>
  </r>
  <r>
    <x v="0"/>
    <x v="8"/>
    <x v="1"/>
    <n v="484.86513324219408"/>
    <n v="87.145482784433341"/>
    <n v="2.6891317427612451"/>
  </r>
  <r>
    <x v="0"/>
    <x v="9"/>
    <x v="1"/>
    <n v="505.79744655321457"/>
    <n v="87.097395444276174"/>
    <n v="3.3378201836736467"/>
  </r>
  <r>
    <x v="0"/>
    <x v="10"/>
    <x v="1"/>
    <n v="580.2442085757707"/>
    <n v="86.877608980867407"/>
    <n v="3.1878291094263003"/>
  </r>
  <r>
    <x v="0"/>
    <x v="11"/>
    <x v="1"/>
    <n v="662.26888933256487"/>
    <n v="86.594161070396737"/>
    <n v="2.5889197709887717"/>
  </r>
  <r>
    <x v="0"/>
    <x v="12"/>
    <x v="1"/>
    <n v="674.06133869762289"/>
    <n v="85.675222763744301"/>
    <n v="1.77661844820694"/>
  </r>
  <r>
    <x v="0"/>
    <x v="13"/>
    <x v="1"/>
    <n v="757.28996392016199"/>
    <n v="86.22011755120414"/>
    <n v="1.7457671450973684"/>
  </r>
  <r>
    <x v="0"/>
    <x v="14"/>
    <x v="1"/>
    <n v="754.76583610023272"/>
    <n v="86.312655319826462"/>
    <n v="0.92335890477553229"/>
  </r>
  <r>
    <x v="0"/>
    <x v="15"/>
    <x v="1"/>
    <n v="788.44546754766714"/>
    <n v="86.616290457177186"/>
    <n v="1.6988626572207584"/>
  </r>
  <r>
    <x v="0"/>
    <x v="16"/>
    <x v="1"/>
    <n v="798.78703146698001"/>
    <n v="87.542413048903214"/>
    <n v="1.2581825904047865"/>
  </r>
  <r>
    <x v="0"/>
    <x v="17"/>
    <x v="1"/>
    <n v="853.98242311770366"/>
    <n v="87.552496477745976"/>
    <n v="0.98507007660499424"/>
  </r>
  <r>
    <x v="0"/>
    <x v="18"/>
    <x v="1"/>
    <n v="828.57723054529458"/>
    <n v="88.165488941104527"/>
    <n v="1.3619837750523682"/>
  </r>
  <r>
    <x v="0"/>
    <x v="19"/>
    <x v="1"/>
    <n v="795.84158014194679"/>
    <n v="87.917593774753584"/>
    <n v="1.257845693516296"/>
  </r>
  <r>
    <x v="0"/>
    <x v="20"/>
    <x v="1"/>
    <n v="780.74477756262831"/>
    <n v="87.117301601035095"/>
    <n v="0.44807690967143832"/>
  </r>
  <r>
    <x v="0"/>
    <x v="21"/>
    <x v="1"/>
    <n v="733.7417618103832"/>
    <n v="87.748281405843017"/>
    <n v="0.63016838798918096"/>
  </r>
  <r>
    <x v="0"/>
    <x v="22"/>
    <x v="1"/>
    <n v="694.6222330207878"/>
    <n v="87.048232752796181"/>
    <n v="1.3921282535216091"/>
  </r>
  <r>
    <x v="0"/>
    <x v="23"/>
    <x v="1"/>
    <n v="611.75772708515842"/>
    <n v="86.654453657795514"/>
    <n v="0.58649571759236852"/>
  </r>
  <r>
    <x v="1"/>
    <x v="0"/>
    <x v="1"/>
    <n v="573.66052430081845"/>
    <n v="87.299950643872947"/>
    <n v="0.60036569161017728"/>
  </r>
  <r>
    <x v="1"/>
    <x v="1"/>
    <x v="1"/>
    <n v="495.70149752662803"/>
    <n v="87.308466460258316"/>
    <n v="0.63837645490436223"/>
  </r>
  <r>
    <x v="1"/>
    <x v="2"/>
    <x v="1"/>
    <n v="521.3156997477912"/>
    <n v="87.369131731264375"/>
    <n v="1.3665992849284547"/>
  </r>
  <r>
    <x v="1"/>
    <x v="3"/>
    <x v="1"/>
    <n v="433.14555939855597"/>
    <n v="86.435268481244961"/>
    <n v="0.62482507972787749"/>
  </r>
  <r>
    <x v="1"/>
    <x v="4"/>
    <x v="1"/>
    <n v="431.68897273408976"/>
    <n v="86.488964932545912"/>
    <n v="1.2181733651630802"/>
  </r>
  <r>
    <x v="1"/>
    <x v="5"/>
    <x v="1"/>
    <n v="447.20048474608859"/>
    <n v="86.237318863499155"/>
    <n v="1.0964868687832419"/>
  </r>
  <r>
    <x v="1"/>
    <x v="6"/>
    <x v="1"/>
    <n v="426.48525928672694"/>
    <n v="85.545754122083579"/>
    <n v="1.0393026724797632"/>
  </r>
  <r>
    <x v="1"/>
    <x v="7"/>
    <x v="1"/>
    <n v="443.60908468561269"/>
    <n v="85.722087420068988"/>
    <n v="1.432090830212579"/>
  </r>
  <r>
    <x v="1"/>
    <x v="8"/>
    <x v="1"/>
    <n v="471.56019754358624"/>
    <n v="86.370126223721357"/>
    <n v="0.84659225789235071"/>
  </r>
  <r>
    <x v="1"/>
    <x v="9"/>
    <x v="1"/>
    <n v="498.38397694556988"/>
    <n v="85.422684375883151"/>
    <n v="1.8119275828700605"/>
  </r>
  <r>
    <x v="1"/>
    <x v="10"/>
    <x v="1"/>
    <n v="587.82083279560516"/>
    <n v="84.704563648724601"/>
    <n v="0.82918041244703344"/>
  </r>
  <r>
    <x v="1"/>
    <x v="11"/>
    <x v="1"/>
    <n v="651.94407672387729"/>
    <n v="84.301809491850676"/>
    <n v="1.4345763335710089"/>
  </r>
  <r>
    <x v="1"/>
    <x v="12"/>
    <x v="1"/>
    <n v="662.47866159889361"/>
    <n v="84.122661272239526"/>
    <n v="1.6992278115816148"/>
  </r>
  <r>
    <x v="1"/>
    <x v="13"/>
    <x v="1"/>
    <n v="711.69335181036524"/>
    <n v="84.744793593021242"/>
    <n v="2.3749282993980487"/>
  </r>
  <r>
    <x v="1"/>
    <x v="14"/>
    <x v="1"/>
    <n v="795.84183864759871"/>
    <n v="84.233848482691144"/>
    <n v="3.0436906983958965"/>
  </r>
  <r>
    <x v="1"/>
    <x v="15"/>
    <x v="1"/>
    <n v="792.72738969303975"/>
    <n v="83.687089545633555"/>
    <n v="3.4780895901248772"/>
  </r>
  <r>
    <x v="1"/>
    <x v="16"/>
    <x v="1"/>
    <n v="844.4203394609691"/>
    <n v="84.423057152622135"/>
    <n v="3.3106637655344771"/>
  </r>
  <r>
    <x v="1"/>
    <x v="17"/>
    <x v="1"/>
    <n v="847.59719084816129"/>
    <n v="84.92476469143331"/>
    <n v="3.2101865658659028"/>
  </r>
  <r>
    <x v="1"/>
    <x v="18"/>
    <x v="1"/>
    <n v="834.22354337240199"/>
    <n v="85.570937736485135"/>
    <n v="4.1934854293794315"/>
  </r>
  <r>
    <x v="1"/>
    <x v="19"/>
    <x v="1"/>
    <n v="823.35735683552161"/>
    <n v="84.755806920569398"/>
    <n v="3.2436859615212952"/>
  </r>
  <r>
    <x v="1"/>
    <x v="20"/>
    <x v="1"/>
    <n v="757.92566281063228"/>
    <n v="84.01156564261349"/>
    <n v="3.6581415710191241"/>
  </r>
  <r>
    <x v="1"/>
    <x v="21"/>
    <x v="1"/>
    <n v="730.00050573430292"/>
    <n v="84.266887991762417"/>
    <n v="3.4665866521892728"/>
  </r>
  <r>
    <x v="1"/>
    <x v="22"/>
    <x v="1"/>
    <n v="661.9463509278296"/>
    <n v="83.72789847640739"/>
    <n v="4.2252364768901032"/>
  </r>
  <r>
    <x v="1"/>
    <x v="23"/>
    <x v="1"/>
    <n v="644.88536133587309"/>
    <n v="83.751112284674292"/>
    <n v="4.3654044102119087"/>
  </r>
  <r>
    <x v="2"/>
    <x v="0"/>
    <x v="1"/>
    <n v="556.42688242672079"/>
    <n v="83.256091856926659"/>
    <n v="4.7238587979288367"/>
  </r>
  <r>
    <x v="2"/>
    <x v="1"/>
    <x v="1"/>
    <n v="532.09514427963086"/>
    <n v="83.616706854584464"/>
    <n v="5.2955739442274137"/>
  </r>
  <r>
    <x v="2"/>
    <x v="2"/>
    <x v="1"/>
    <n v="470.01853912310673"/>
    <n v="83.568053884911436"/>
    <n v="5.1614280718829768"/>
  </r>
  <r>
    <x v="2"/>
    <x v="3"/>
    <x v="1"/>
    <n v="482.19860446225505"/>
    <n v="83.765477798333407"/>
    <n v="4.6763587114884544"/>
  </r>
  <r>
    <x v="2"/>
    <x v="4"/>
    <x v="1"/>
    <n v="432.79086646693003"/>
    <n v="83.221289828609287"/>
    <n v="4.8895393274195973"/>
  </r>
  <r>
    <x v="2"/>
    <x v="5"/>
    <x v="1"/>
    <n v="437.96638219905708"/>
    <n v="82.234597207127649"/>
    <n v="5.6513996111938161"/>
  </r>
  <r>
    <x v="2"/>
    <x v="6"/>
    <x v="1"/>
    <n v="428.98729677453133"/>
    <n v="82.584473593051271"/>
    <n v="5.4868125015732723"/>
  </r>
  <r>
    <x v="2"/>
    <x v="7"/>
    <x v="1"/>
    <n v="471.80320194182298"/>
    <n v="81.935940359582446"/>
    <n v="5.3916961901824978"/>
  </r>
  <r>
    <x v="2"/>
    <x v="8"/>
    <x v="1"/>
    <n v="491.94465449490497"/>
    <n v="81.949241694695672"/>
    <n v="4.6087066193897677"/>
  </r>
  <r>
    <x v="2"/>
    <x v="9"/>
    <x v="1"/>
    <n v="524.72035043695655"/>
    <n v="81.274506355091688"/>
    <n v="4.2752748385125221"/>
  </r>
  <r>
    <x v="2"/>
    <x v="10"/>
    <x v="1"/>
    <n v="573.46033445453929"/>
    <n v="82.074174988583763"/>
    <n v="3.6124404867851947"/>
  </r>
  <r>
    <x v="2"/>
    <x v="11"/>
    <x v="1"/>
    <n v="659.46000929397314"/>
    <n v="82.2385413486587"/>
    <n v="3.6391287012411371"/>
  </r>
  <r>
    <x v="2"/>
    <x v="12"/>
    <x v="1"/>
    <n v="687.26455017725561"/>
    <n v="82.115137632028919"/>
    <n v="2.8956112565803158"/>
  </r>
  <r>
    <x v="2"/>
    <x v="13"/>
    <x v="1"/>
    <n v="749.66544200613714"/>
    <n v="81.387340152094765"/>
    <n v="2.0835231401850089"/>
  </r>
  <r>
    <x v="2"/>
    <x v="14"/>
    <x v="1"/>
    <n v="788.45550305520953"/>
    <n v="80.688615904282415"/>
    <n v="1.3467942489559031"/>
  </r>
  <r>
    <x v="2"/>
    <x v="15"/>
    <x v="1"/>
    <n v="787.85846282381181"/>
    <n v="81.071288579473688"/>
    <n v="0.9428916419255049"/>
  </r>
  <r>
    <x v="2"/>
    <x v="16"/>
    <x v="1"/>
    <n v="852.21138729156053"/>
    <n v="81.653359179231458"/>
    <n v="1.1760957604720281"/>
  </r>
  <r>
    <x v="2"/>
    <x v="17"/>
    <x v="1"/>
    <n v="845.83124468837343"/>
    <n v="80.876223951005045"/>
    <n v="0.53080757218577146"/>
  </r>
  <r>
    <x v="2"/>
    <x v="18"/>
    <x v="1"/>
    <n v="839.95487558728337"/>
    <n v="81.041391208114192"/>
    <n v="1.0738241718071198"/>
  </r>
  <r>
    <x v="2"/>
    <x v="19"/>
    <x v="1"/>
    <n v="815.33623039591862"/>
    <n v="80.540196697753544"/>
    <n v="1.5175784518932709"/>
  </r>
  <r>
    <x v="2"/>
    <x v="20"/>
    <x v="1"/>
    <n v="787.90138428677574"/>
    <n v="80.560113288846665"/>
    <n v="1.9783470540414561"/>
  </r>
  <r>
    <x v="2"/>
    <x v="21"/>
    <x v="1"/>
    <n v="723.70821369701707"/>
    <n v="80.903718021302069"/>
    <n v="1.372278601167602"/>
  </r>
  <r>
    <x v="2"/>
    <x v="22"/>
    <x v="1"/>
    <n v="686.90413509639768"/>
    <n v="81.87215729267929"/>
    <n v="2.1875828660841403"/>
  </r>
  <r>
    <x v="2"/>
    <x v="23"/>
    <x v="1"/>
    <n v="611.39855504962725"/>
    <n v="81.439933233731452"/>
    <n v="1.3712568759813553"/>
  </r>
  <r>
    <x v="3"/>
    <x v="0"/>
    <x v="1"/>
    <n v="573.08978298378167"/>
    <n v="81.276704838492932"/>
    <n v="0.57831858738393249"/>
  </r>
  <r>
    <x v="3"/>
    <x v="1"/>
    <x v="1"/>
    <n v="512.56052066087398"/>
    <n v="80.632852788021907"/>
    <n v="0.5941780622306394"/>
  </r>
  <r>
    <x v="3"/>
    <x v="2"/>
    <x v="1"/>
    <n v="460.18305249417529"/>
    <n v="81.526584119008461"/>
    <n v="1.327024715668204"/>
  </r>
  <r>
    <x v="3"/>
    <x v="3"/>
    <x v="1"/>
    <n v="473.16694450531509"/>
    <n v="80.814882820579186"/>
    <n v="1.6798650183154782"/>
  </r>
  <r>
    <x v="3"/>
    <x v="4"/>
    <x v="1"/>
    <n v="402.73654107428854"/>
    <n v="81.334190439159187"/>
    <n v="2.2464223616018888"/>
  </r>
  <r>
    <x v="3"/>
    <x v="5"/>
    <x v="1"/>
    <n v="412.44677676081506"/>
    <n v="80.504572598785515"/>
    <n v="2.2672455663341284"/>
  </r>
  <r>
    <x v="3"/>
    <x v="6"/>
    <x v="1"/>
    <n v="418.92386131414651"/>
    <n v="80.686443775322886"/>
    <n v="2.0456044054138909"/>
  </r>
  <r>
    <x v="3"/>
    <x v="7"/>
    <x v="1"/>
    <n v="466.51965475191673"/>
    <n v="81.467819814664622"/>
    <n v="2.9812049404400667"/>
  </r>
  <r>
    <x v="3"/>
    <x v="8"/>
    <x v="1"/>
    <n v="481.18254729410734"/>
    <n v="82.115872925875081"/>
    <n v="3.6323047955901386"/>
  </r>
  <r>
    <x v="3"/>
    <x v="9"/>
    <x v="1"/>
    <n v="513.21014922837981"/>
    <n v="82.262583296100416"/>
    <n v="3.3444262926134396"/>
  </r>
  <r>
    <x v="3"/>
    <x v="10"/>
    <x v="1"/>
    <n v="577.88508176215737"/>
    <n v="82.758509599733756"/>
    <n v="3.0185922731273886"/>
  </r>
  <r>
    <x v="3"/>
    <x v="11"/>
    <x v="1"/>
    <n v="655.28231023685419"/>
    <n v="82.886901252302692"/>
    <n v="2.1134905441166687"/>
  </r>
  <r>
    <x v="3"/>
    <x v="12"/>
    <x v="1"/>
    <n v="669.81466490239677"/>
    <n v="82.793657624703982"/>
    <n v="1.6029388047822168"/>
  </r>
  <r>
    <x v="3"/>
    <x v="13"/>
    <x v="1"/>
    <n v="736.24050695963911"/>
    <n v="83.783223369974365"/>
    <n v="2.3401037724564198"/>
  </r>
  <r>
    <x v="3"/>
    <x v="14"/>
    <x v="1"/>
    <n v="788.38212121113543"/>
    <n v="83.855652803248319"/>
    <n v="1.4825395063590643"/>
  </r>
  <r>
    <x v="3"/>
    <x v="15"/>
    <x v="1"/>
    <n v="828.94829916681397"/>
    <n v="84.238161775868392"/>
    <n v="1.7977472674717827"/>
  </r>
  <r>
    <x v="3"/>
    <x v="16"/>
    <x v="1"/>
    <n v="818.92390107597498"/>
    <n v="84.090981180705256"/>
    <n v="2.0548725659876461"/>
  </r>
  <r>
    <x v="3"/>
    <x v="17"/>
    <x v="1"/>
    <n v="837.07945757303764"/>
    <n v="83.984642119695224"/>
    <n v="1.3339155370030236"/>
  </r>
  <r>
    <x v="3"/>
    <x v="18"/>
    <x v="1"/>
    <n v="820.16011773787818"/>
    <n v="83.51825772655846"/>
    <n v="1.7614541611676922"/>
  </r>
  <r>
    <x v="3"/>
    <x v="19"/>
    <x v="1"/>
    <n v="787.90989683591397"/>
    <n v="82.608177326410868"/>
    <n v="1.2454079094841175"/>
  </r>
  <r>
    <x v="3"/>
    <x v="20"/>
    <x v="1"/>
    <n v="757.28711472694761"/>
    <n v="81.738043096184541"/>
    <n v="1.9158749407248812"/>
  </r>
  <r>
    <x v="3"/>
    <x v="21"/>
    <x v="1"/>
    <n v="704.3492521722228"/>
    <n v="81.600634266441432"/>
    <n v="1.3890232714830917"/>
  </r>
  <r>
    <x v="3"/>
    <x v="22"/>
    <x v="1"/>
    <n v="684.8863535430047"/>
    <n v="81.6205609571888"/>
    <n v="0.53139563196837525"/>
  </r>
  <r>
    <x v="3"/>
    <x v="23"/>
    <x v="1"/>
    <n v="620.91429357880531"/>
    <n v="82.225301539854925"/>
    <n v="1.0943413998535441"/>
  </r>
  <r>
    <x v="4"/>
    <x v="0"/>
    <x v="1"/>
    <n v="565.2578057257906"/>
    <n v="82.138712906606102"/>
    <n v="1.904409900455946"/>
  </r>
  <r>
    <x v="4"/>
    <x v="1"/>
    <x v="1"/>
    <n v="515.51769590672177"/>
    <n v="81.269323551901181"/>
    <n v="2.2886581902625971"/>
  </r>
  <r>
    <x v="4"/>
    <x v="2"/>
    <x v="1"/>
    <n v="470.05271660488307"/>
    <n v="81.607305221544365"/>
    <n v="2.4575165872436173"/>
  </r>
  <r>
    <x v="4"/>
    <x v="3"/>
    <x v="1"/>
    <n v="446.75709072846718"/>
    <n v="81.272433681539098"/>
    <n v="1.9245700233506762"/>
  </r>
  <r>
    <x v="4"/>
    <x v="4"/>
    <x v="1"/>
    <n v="405.2822904239012"/>
    <n v="82.107413830450739"/>
    <n v="2.0877169221187364"/>
  </r>
  <r>
    <x v="4"/>
    <x v="5"/>
    <x v="1"/>
    <n v="430.83623321009037"/>
    <n v="81.543990528528084"/>
    <n v="1.290376757002816"/>
  </r>
  <r>
    <x v="4"/>
    <x v="6"/>
    <x v="1"/>
    <n v="465.16689506505173"/>
    <n v="80.646459292032091"/>
    <n v="0.48487149386603257"/>
  </r>
  <r>
    <x v="4"/>
    <x v="7"/>
    <x v="1"/>
    <n v="452.28138086624239"/>
    <n v="80.888941299048042"/>
    <n v="1.3699043696374225"/>
  </r>
  <r>
    <x v="4"/>
    <x v="8"/>
    <x v="1"/>
    <n v="479.56807480676315"/>
    <n v="81.80014335861577"/>
    <n v="1.9335719459536931"/>
  </r>
  <r>
    <x v="4"/>
    <x v="9"/>
    <x v="1"/>
    <n v="554.57461870907389"/>
    <n v="80.852938774565416"/>
    <n v="2.3148409194696455"/>
  </r>
  <r>
    <x v="4"/>
    <x v="10"/>
    <x v="1"/>
    <n v="610.99634719772303"/>
    <n v="80.946860456184567"/>
    <n v="1.3562617753684143"/>
  </r>
  <r>
    <x v="4"/>
    <x v="11"/>
    <x v="1"/>
    <n v="654.66761061993691"/>
    <n v="81.654266231244847"/>
    <n v="1.5783006255110714"/>
  </r>
  <r>
    <x v="4"/>
    <x v="12"/>
    <x v="1"/>
    <n v="706.56206889809141"/>
    <n v="80.720319099253118"/>
    <n v="0.73930629060739206"/>
  </r>
  <r>
    <x v="4"/>
    <x v="13"/>
    <x v="1"/>
    <n v="701.46455557899367"/>
    <n v="80.96868769015903"/>
    <n v="1.361520038803981"/>
  </r>
  <r>
    <x v="4"/>
    <x v="14"/>
    <x v="1"/>
    <n v="776.80794107740121"/>
    <n v="81.240977736501918"/>
    <n v="2.2947826335975048"/>
  </r>
  <r>
    <x v="4"/>
    <x v="15"/>
    <x v="1"/>
    <n v="835.25514207689025"/>
    <n v="81.202840620479193"/>
    <n v="1.8014722783372703"/>
  </r>
  <r>
    <x v="4"/>
    <x v="16"/>
    <x v="1"/>
    <n v="821.65894859028413"/>
    <n v="81.732030543094467"/>
    <n v="1.9049601537203293"/>
  </r>
  <r>
    <x v="4"/>
    <x v="17"/>
    <x v="1"/>
    <n v="806.48225430592151"/>
    <n v="81.761888680372408"/>
    <n v="1.6473133687200932"/>
  </r>
  <r>
    <x v="4"/>
    <x v="18"/>
    <x v="1"/>
    <n v="812.16594998351093"/>
    <n v="81.492578655218935"/>
    <n v="1.7158099152901727"/>
  </r>
  <r>
    <x v="4"/>
    <x v="19"/>
    <x v="1"/>
    <n v="778.0558599901558"/>
    <n v="81.691827154661482"/>
    <n v="2.4068463333021701"/>
  </r>
  <r>
    <x v="4"/>
    <x v="20"/>
    <x v="1"/>
    <n v="743.81793407954081"/>
    <n v="81.767911583722835"/>
    <n v="2.7354684822849551"/>
  </r>
  <r>
    <x v="4"/>
    <x v="21"/>
    <x v="1"/>
    <n v="714.19023161052576"/>
    <n v="81.604451172176283"/>
    <n v="2.2010768746311631"/>
  </r>
  <r>
    <x v="4"/>
    <x v="22"/>
    <x v="1"/>
    <n v="711.85812119967693"/>
    <n v="81.092931242462839"/>
    <n v="2.6599360042044307"/>
  </r>
  <r>
    <x v="4"/>
    <x v="23"/>
    <x v="1"/>
    <n v="630.03438785164212"/>
    <n v="81.465273621373555"/>
    <n v="1.6945840878261236"/>
  </r>
  <r>
    <x v="5"/>
    <x v="0"/>
    <x v="1"/>
    <n v="559.56389156242949"/>
    <n v="81.606885661303693"/>
    <n v="2.2375301870262287"/>
  </r>
  <r>
    <x v="5"/>
    <x v="1"/>
    <x v="1"/>
    <n v="517.18752859281165"/>
    <n v="80.901959772107986"/>
    <n v="1.7143095216941178"/>
  </r>
  <r>
    <x v="5"/>
    <x v="2"/>
    <x v="1"/>
    <n v="467.35593898043822"/>
    <n v="81.179282497982371"/>
    <n v="2.0413188952126031"/>
  </r>
  <r>
    <x v="5"/>
    <x v="3"/>
    <x v="1"/>
    <n v="476.76828555697409"/>
    <n v="81.620426161155152"/>
    <n v="2.9988518613147495"/>
  </r>
  <r>
    <x v="5"/>
    <x v="4"/>
    <x v="1"/>
    <n v="404.76800888910026"/>
    <n v="81.848212170427374"/>
    <n v="3.3345091264789111"/>
  </r>
  <r>
    <x v="5"/>
    <x v="5"/>
    <x v="1"/>
    <n v="428.30081551977679"/>
    <n v="82.135221473885778"/>
    <n v="2.9235159085122362"/>
  </r>
  <r>
    <x v="5"/>
    <x v="6"/>
    <x v="1"/>
    <n v="411.30603108580073"/>
    <n v="82.607086961080725"/>
    <n v="2.4497373974872518"/>
  </r>
  <r>
    <x v="5"/>
    <x v="7"/>
    <x v="1"/>
    <n v="470.14719418179624"/>
    <n v="81.838667516894802"/>
    <n v="2.6328406019833137"/>
  </r>
  <r>
    <x v="5"/>
    <x v="8"/>
    <x v="1"/>
    <n v="473.55590059873776"/>
    <n v="80.86882650147885"/>
    <n v="3.5009412949330869"/>
  </r>
  <r>
    <x v="5"/>
    <x v="9"/>
    <x v="1"/>
    <n v="523.35937676920878"/>
    <n v="81.331444185026371"/>
    <n v="4.497972849731239"/>
  </r>
  <r>
    <x v="5"/>
    <x v="10"/>
    <x v="1"/>
    <n v="592.16870654327511"/>
    <n v="80.579265474238611"/>
    <n v="4.3163218149709861"/>
  </r>
  <r>
    <x v="5"/>
    <x v="11"/>
    <x v="1"/>
    <n v="601.05461145188929"/>
    <n v="80.894131043730638"/>
    <n v="4.3143585040424943"/>
  </r>
  <r>
    <x v="5"/>
    <x v="12"/>
    <x v="1"/>
    <n v="701.36508014208061"/>
    <n v="81.568548954114192"/>
    <n v="4.7511988576421587"/>
  </r>
  <r>
    <x v="5"/>
    <x v="13"/>
    <x v="1"/>
    <n v="755.34986487896788"/>
    <n v="81.325499580833267"/>
    <n v="5.1944550369276108"/>
  </r>
  <r>
    <x v="5"/>
    <x v="14"/>
    <x v="1"/>
    <n v="749.34789273086722"/>
    <n v="80.836945141152853"/>
    <n v="4.3728544001787153"/>
  </r>
  <r>
    <x v="5"/>
    <x v="15"/>
    <x v="1"/>
    <n v="817.22627441495263"/>
    <n v="81.657580263028422"/>
    <n v="5.15694822030461"/>
  </r>
  <r>
    <x v="5"/>
    <x v="16"/>
    <x v="1"/>
    <n v="798.85442153214035"/>
    <n v="81.078161019471096"/>
    <n v="5.0138606772949403"/>
  </r>
  <r>
    <x v="5"/>
    <x v="17"/>
    <x v="1"/>
    <n v="831.12830778459579"/>
    <n v="80.869818774832552"/>
    <n v="4.3490626920604285"/>
  </r>
  <r>
    <x v="5"/>
    <x v="18"/>
    <x v="1"/>
    <n v="830.95135014476978"/>
    <n v="81.671052334866943"/>
    <n v="3.8432431172875505"/>
  </r>
  <r>
    <x v="5"/>
    <x v="19"/>
    <x v="1"/>
    <n v="793.68816055164041"/>
    <n v="81.133782183071531"/>
    <n v="2.9449455430654856"/>
  </r>
  <r>
    <x v="5"/>
    <x v="20"/>
    <x v="1"/>
    <n v="767.18563657645939"/>
    <n v="80.35427666417398"/>
    <n v="3.253228876669088"/>
  </r>
  <r>
    <x v="5"/>
    <x v="21"/>
    <x v="1"/>
    <n v="714.26132439921537"/>
    <n v="81.341809351364049"/>
    <n v="3.0070512766270521"/>
  </r>
  <r>
    <x v="5"/>
    <x v="22"/>
    <x v="1"/>
    <n v="650.03834450883448"/>
    <n v="82.100275784359042"/>
    <n v="2.0953649869472866"/>
  </r>
  <r>
    <x v="5"/>
    <x v="23"/>
    <x v="1"/>
    <n v="649.13335219472742"/>
    <n v="82.29328717597221"/>
    <n v="1.8921283790534769"/>
  </r>
  <r>
    <x v="6"/>
    <x v="0"/>
    <x v="1"/>
    <n v="597.48954842360263"/>
    <n v="82.277842272893878"/>
    <n v="2.0851177189673877"/>
  </r>
  <r>
    <x v="6"/>
    <x v="1"/>
    <x v="1"/>
    <n v="543.26542484801871"/>
    <n v="81.545547939756005"/>
    <n v="2.315444219951492"/>
  </r>
  <r>
    <x v="6"/>
    <x v="2"/>
    <x v="1"/>
    <n v="520.73102542101947"/>
    <n v="81.389462607124898"/>
    <n v="2.2645499670119342"/>
  </r>
  <r>
    <x v="6"/>
    <x v="3"/>
    <x v="1"/>
    <n v="437.7768194270638"/>
    <n v="80.728639219462536"/>
    <n v="1.6507018737743064"/>
  </r>
  <r>
    <x v="6"/>
    <x v="4"/>
    <x v="1"/>
    <n v="407.15751243888985"/>
    <n v="81.676058006857204"/>
    <n v="2.3580842772189632"/>
  </r>
  <r>
    <x v="6"/>
    <x v="5"/>
    <x v="1"/>
    <n v="400.64346623607344"/>
    <n v="82.445284634327848"/>
    <n v="1.5545641252226283"/>
  </r>
  <r>
    <x v="6"/>
    <x v="6"/>
    <x v="1"/>
    <n v="411.8763943331154"/>
    <n v="82.265801315586259"/>
    <n v="0.78018246668466429"/>
  </r>
  <r>
    <x v="6"/>
    <x v="7"/>
    <x v="1"/>
    <n v="442.35751415365172"/>
    <n v="82.477214729012772"/>
    <n v="1.7059471083561009"/>
  </r>
  <r>
    <x v="6"/>
    <x v="8"/>
    <x v="1"/>
    <n v="511.22232132477313"/>
    <n v="82.436315616844553"/>
    <n v="1.1820352501061153"/>
  </r>
  <r>
    <x v="6"/>
    <x v="9"/>
    <x v="1"/>
    <n v="530.68490309585479"/>
    <n v="82.841613334009693"/>
    <n v="0.55038268031535309"/>
  </r>
  <r>
    <x v="6"/>
    <x v="10"/>
    <x v="1"/>
    <n v="575.2929038577862"/>
    <n v="82.816302222133373"/>
    <n v="1.3244110281334343"/>
  </r>
  <r>
    <x v="6"/>
    <x v="11"/>
    <x v="1"/>
    <n v="636.17935877426248"/>
    <n v="83.738868707223759"/>
    <n v="1.6324500490121641"/>
  </r>
  <r>
    <x v="6"/>
    <x v="12"/>
    <x v="1"/>
    <n v="676.67872178881021"/>
    <n v="83.542509233205337"/>
    <n v="2.6178580742153992"/>
  </r>
  <r>
    <x v="6"/>
    <x v="13"/>
    <x v="1"/>
    <n v="698.34697042877588"/>
    <n v="84.302849908081271"/>
    <n v="2.1250895188789816"/>
  </r>
  <r>
    <x v="6"/>
    <x v="14"/>
    <x v="1"/>
    <n v="789.91352849341547"/>
    <n v="84.471226679067271"/>
    <n v="2.4415321827439769"/>
  </r>
  <r>
    <x v="6"/>
    <x v="15"/>
    <x v="1"/>
    <n v="800.2787660237683"/>
    <n v="84.947812527100723"/>
    <n v="1.702174844464198"/>
  </r>
  <r>
    <x v="6"/>
    <x v="16"/>
    <x v="1"/>
    <n v="857.40820582709011"/>
    <n v="85.576793199178013"/>
    <n v="1.3928935980680157"/>
  </r>
  <r>
    <x v="6"/>
    <x v="17"/>
    <x v="1"/>
    <n v="800.6613483849859"/>
    <n v="86.068571016610989"/>
    <n v="1.4414137384114176"/>
  </r>
  <r>
    <x v="6"/>
    <x v="18"/>
    <x v="1"/>
    <n v="804.70649661792027"/>
    <n v="86.841953006471599"/>
    <n v="1.3192668419870743"/>
  </r>
  <r>
    <x v="6"/>
    <x v="19"/>
    <x v="1"/>
    <n v="822.24650607121475"/>
    <n v="87.101107511099315"/>
    <n v="1.1580789300574614"/>
  </r>
  <r>
    <x v="6"/>
    <x v="20"/>
    <x v="1"/>
    <n v="759.21005590907907"/>
    <n v="87.323579532358409"/>
    <n v="1.4594746572930408"/>
  </r>
  <r>
    <x v="6"/>
    <x v="21"/>
    <x v="1"/>
    <n v="748.5938629265537"/>
    <n v="86.349021148908676"/>
    <n v="2.4390616292498795"/>
  </r>
  <r>
    <x v="6"/>
    <x v="22"/>
    <x v="1"/>
    <n v="672.44452240678322"/>
    <n v="86.657382394994968"/>
    <n v="2.8750734082721392"/>
  </r>
  <r>
    <x v="6"/>
    <x v="23"/>
    <x v="1"/>
    <n v="621.17295353790985"/>
    <n v="86.222493676867543"/>
    <n v="2.0860903076635959"/>
  </r>
  <r>
    <x v="0"/>
    <x v="0"/>
    <x v="2"/>
    <n v="659.62073395059792"/>
    <n v="85.838059742120805"/>
    <n v="2.2167265947908907"/>
  </r>
  <r>
    <x v="0"/>
    <x v="1"/>
    <x v="2"/>
    <n v="609.18874850379086"/>
    <n v="85.983018012514691"/>
    <n v="1.9787516175973163"/>
  </r>
  <r>
    <x v="0"/>
    <x v="2"/>
    <x v="2"/>
    <n v="563.55580589633485"/>
    <n v="86.259886870572274"/>
    <n v="1.2883991842960283"/>
  </r>
  <r>
    <x v="0"/>
    <x v="3"/>
    <x v="2"/>
    <n v="594.38472031869526"/>
    <n v="87.254093849776211"/>
    <n v="1.3884571000461068"/>
  </r>
  <r>
    <x v="0"/>
    <x v="4"/>
    <x v="2"/>
    <n v="519.72627263855134"/>
    <n v="87.578522047142229"/>
    <n v="2.259965289156816"/>
  </r>
  <r>
    <x v="0"/>
    <x v="5"/>
    <x v="2"/>
    <n v="522.74018815634008"/>
    <n v="87.501551417517163"/>
    <n v="3.1054324707750451"/>
  </r>
  <r>
    <x v="0"/>
    <x v="6"/>
    <x v="2"/>
    <n v="532.99571818149479"/>
    <n v="87.876852666470398"/>
    <n v="3.4997022492317322"/>
  </r>
  <r>
    <x v="0"/>
    <x v="7"/>
    <x v="2"/>
    <n v="587.40831660065135"/>
    <n v="88.25284825902709"/>
    <n v="4.0246378431378398"/>
  </r>
  <r>
    <x v="0"/>
    <x v="8"/>
    <x v="2"/>
    <n v="606.34950785590593"/>
    <n v="87.462090789626799"/>
    <n v="3.6923619036800996"/>
  </r>
  <r>
    <x v="0"/>
    <x v="9"/>
    <x v="2"/>
    <n v="614.87813465698002"/>
    <n v="87.721841313348008"/>
    <n v="3.2969191247527774"/>
  </r>
  <r>
    <x v="0"/>
    <x v="10"/>
    <x v="2"/>
    <n v="661.59828818517201"/>
    <n v="87.624738172947175"/>
    <n v="3.1036352998541119"/>
  </r>
  <r>
    <x v="0"/>
    <x v="11"/>
    <x v="2"/>
    <n v="718.54673437101678"/>
    <n v="87.241119038880441"/>
    <n v="3.2020241591263976"/>
  </r>
  <r>
    <x v="0"/>
    <x v="12"/>
    <x v="2"/>
    <n v="766.51746950208428"/>
    <n v="87.880156344649521"/>
    <n v="3.8092574957863454"/>
  </r>
  <r>
    <x v="0"/>
    <x v="13"/>
    <x v="2"/>
    <n v="837.41933455569165"/>
    <n v="87.763552533469323"/>
    <n v="3.6802957317293501"/>
  </r>
  <r>
    <x v="0"/>
    <x v="14"/>
    <x v="2"/>
    <n v="846.31318462144668"/>
    <n v="87.029888752966258"/>
    <n v="4.2102047674749752"/>
  </r>
  <r>
    <x v="0"/>
    <x v="15"/>
    <x v="2"/>
    <n v="924.22761663287145"/>
    <n v="87.743897298824749"/>
    <n v="5.1451948701245112"/>
  </r>
  <r>
    <x v="0"/>
    <x v="16"/>
    <x v="2"/>
    <n v="889.91843302139239"/>
    <n v="86.74750950431816"/>
    <n v="4.3632186006153981"/>
  </r>
  <r>
    <x v="0"/>
    <x v="17"/>
    <x v="2"/>
    <n v="908.29984459845161"/>
    <n v="86.946285739280881"/>
    <n v="5.2915673867051751"/>
  </r>
  <r>
    <x v="0"/>
    <x v="18"/>
    <x v="2"/>
    <n v="954.12276558140127"/>
    <n v="86.769959286268019"/>
    <n v="4.8469276561040688"/>
  </r>
  <r>
    <x v="0"/>
    <x v="19"/>
    <x v="2"/>
    <n v="881.2995260608551"/>
    <n v="87.720487106818837"/>
    <n v="4.4678905256281833"/>
  </r>
  <r>
    <x v="0"/>
    <x v="20"/>
    <x v="2"/>
    <n v="872.79684480968899"/>
    <n v="88.569131835075197"/>
    <n v="4.6501551761858551"/>
  </r>
  <r>
    <x v="0"/>
    <x v="21"/>
    <x v="2"/>
    <n v="840.09279163599945"/>
    <n v="89.241434834275466"/>
    <n v="4.3384265821315324"/>
  </r>
  <r>
    <x v="0"/>
    <x v="22"/>
    <x v="2"/>
    <n v="760.65802797125559"/>
    <n v="88.435325302681846"/>
    <n v="4.606550171002266"/>
  </r>
  <r>
    <x v="0"/>
    <x v="23"/>
    <x v="2"/>
    <n v="703.16807399858169"/>
    <n v="87.57961640187898"/>
    <n v="5.5903647685248563"/>
  </r>
  <r>
    <x v="1"/>
    <x v="0"/>
    <x v="2"/>
    <n v="668.25275770869268"/>
    <n v="87.649808882812394"/>
    <n v="5.0804538263614232"/>
  </r>
  <r>
    <x v="1"/>
    <x v="1"/>
    <x v="2"/>
    <n v="652.7266283730213"/>
    <n v="87.888282825967295"/>
    <n v="4.9165691041364727"/>
  </r>
  <r>
    <x v="1"/>
    <x v="2"/>
    <x v="2"/>
    <n v="596.35627171837552"/>
    <n v="88.613655180636883"/>
    <n v="5.1583963500049279"/>
  </r>
  <r>
    <x v="1"/>
    <x v="3"/>
    <x v="2"/>
    <n v="559.64221657062876"/>
    <n v="88.789218546783829"/>
    <n v="4.5044920110063371"/>
  </r>
  <r>
    <x v="1"/>
    <x v="4"/>
    <x v="2"/>
    <n v="523.72801040686829"/>
    <n v="89.589646968984994"/>
    <n v="4.9635809786586425"/>
  </r>
  <r>
    <x v="1"/>
    <x v="5"/>
    <x v="2"/>
    <n v="521.1342596854879"/>
    <n v="89.889387537024589"/>
    <n v="5.5206580817941369"/>
  </r>
  <r>
    <x v="1"/>
    <x v="6"/>
    <x v="2"/>
    <n v="558.21458826898902"/>
    <n v="89.079091201419843"/>
    <n v="4.8674384005782665"/>
  </r>
  <r>
    <x v="1"/>
    <x v="7"/>
    <x v="2"/>
    <n v="554.18149082881473"/>
    <n v="89.194472635888403"/>
    <n v="5.5939131762765513"/>
  </r>
  <r>
    <x v="1"/>
    <x v="8"/>
    <x v="2"/>
    <n v="627.31257617530503"/>
    <n v="89.676282350653779"/>
    <n v="5.5933598202027257"/>
  </r>
  <r>
    <x v="1"/>
    <x v="9"/>
    <x v="2"/>
    <n v="633.8387735430166"/>
    <n v="89.034909114540497"/>
    <n v="5.1543183146862273"/>
  </r>
  <r>
    <x v="1"/>
    <x v="10"/>
    <x v="2"/>
    <n v="658.46000874240997"/>
    <n v="89.893822718102413"/>
    <n v="4.3653411617800923"/>
  </r>
  <r>
    <x v="1"/>
    <x v="11"/>
    <x v="2"/>
    <n v="748.79950504404337"/>
    <n v="90.440483873692315"/>
    <n v="4.1906361658681881"/>
  </r>
  <r>
    <x v="1"/>
    <x v="12"/>
    <x v="2"/>
    <n v="764.30354064124583"/>
    <n v="90.711396663762073"/>
    <n v="4.9721006224308244"/>
  </r>
  <r>
    <x v="1"/>
    <x v="13"/>
    <x v="2"/>
    <n v="812.40902008603211"/>
    <n v="90.891053234690162"/>
    <n v="5.6156449665317867"/>
  </r>
  <r>
    <x v="1"/>
    <x v="14"/>
    <x v="2"/>
    <n v="886.46049741520949"/>
    <n v="90.99305814572476"/>
    <n v="4.9258765647341409"/>
  </r>
  <r>
    <x v="1"/>
    <x v="15"/>
    <x v="2"/>
    <n v="873.66543102555897"/>
    <n v="91.826025221881082"/>
    <n v="4.1483264247577303"/>
  </r>
  <r>
    <x v="1"/>
    <x v="16"/>
    <x v="2"/>
    <n v="899.43897100325523"/>
    <n v="91.555161586691781"/>
    <n v="4.0272603725616509"/>
  </r>
  <r>
    <x v="1"/>
    <x v="17"/>
    <x v="2"/>
    <n v="903.87070158935876"/>
    <n v="91.735312358275891"/>
    <n v="4.2555754598791049"/>
  </r>
  <r>
    <x v="1"/>
    <x v="18"/>
    <x v="2"/>
    <n v="911.12283671044997"/>
    <n v="91.227980157966144"/>
    <n v="5.0245636282318795"/>
  </r>
  <r>
    <x v="1"/>
    <x v="19"/>
    <x v="2"/>
    <n v="900.47489073946099"/>
    <n v="90.651257135610976"/>
    <n v="4.2856798768931945"/>
  </r>
  <r>
    <x v="1"/>
    <x v="20"/>
    <x v="2"/>
    <n v="871.41844236479824"/>
    <n v="90.205219366375232"/>
    <n v="5.2051727778600778"/>
  </r>
  <r>
    <x v="1"/>
    <x v="21"/>
    <x v="2"/>
    <n v="811.64814511263899"/>
    <n v="90.531730856002582"/>
    <n v="4.8701129978797084"/>
  </r>
  <r>
    <x v="1"/>
    <x v="22"/>
    <x v="2"/>
    <n v="785.43441050085096"/>
    <n v="89.982543581166198"/>
    <n v="5.3446710076339521"/>
  </r>
  <r>
    <x v="1"/>
    <x v="23"/>
    <x v="2"/>
    <n v="747.7904063078895"/>
    <n v="89.582686436930317"/>
    <n v="4.7286356521902579"/>
  </r>
  <r>
    <x v="2"/>
    <x v="0"/>
    <x v="2"/>
    <n v="651.6138116501071"/>
    <n v="89.115346903691034"/>
    <n v="4.6070103908765896"/>
  </r>
  <r>
    <x v="2"/>
    <x v="1"/>
    <x v="2"/>
    <n v="608.50848889044187"/>
    <n v="88.935259664880306"/>
    <n v="4.554843411663521"/>
  </r>
  <r>
    <x v="2"/>
    <x v="2"/>
    <x v="2"/>
    <n v="553.82961373377805"/>
    <n v="88.705548059038478"/>
    <n v="4.4298075248162085"/>
  </r>
  <r>
    <x v="2"/>
    <x v="3"/>
    <x v="2"/>
    <n v="569.96767338985569"/>
    <n v="89.286943138667439"/>
    <n v="4.9163257452054552"/>
  </r>
  <r>
    <x v="2"/>
    <x v="4"/>
    <x v="2"/>
    <n v="523.31086623113083"/>
    <n v="90.04230702075408"/>
    <n v="5.2082805189629928"/>
  </r>
  <r>
    <x v="2"/>
    <x v="5"/>
    <x v="2"/>
    <n v="522.56236563217283"/>
    <n v="90.647335150246462"/>
    <n v="4.9585892562102245"/>
  </r>
  <r>
    <x v="2"/>
    <x v="6"/>
    <x v="2"/>
    <n v="555.31315803386235"/>
    <n v="91.633746950211005"/>
    <n v="5.5323814425397835"/>
  </r>
  <r>
    <x v="2"/>
    <x v="7"/>
    <x v="2"/>
    <n v="526.43369156495658"/>
    <n v="92.339341977649397"/>
    <n v="5.4434888966819202"/>
  </r>
  <r>
    <x v="2"/>
    <x v="8"/>
    <x v="2"/>
    <n v="573.21319606673865"/>
    <n v="93.085466878288827"/>
    <n v="4.8950723129293792"/>
  </r>
  <r>
    <x v="2"/>
    <x v="9"/>
    <x v="2"/>
    <n v="617.23433587558691"/>
    <n v="94.041390627711522"/>
    <n v="5.0531044511025209"/>
  </r>
  <r>
    <x v="2"/>
    <x v="10"/>
    <x v="2"/>
    <n v="689.03845531015247"/>
    <n v="93.775699612410818"/>
    <n v="4.3872698260819902"/>
  </r>
  <r>
    <x v="2"/>
    <x v="11"/>
    <x v="2"/>
    <n v="700.24158124128701"/>
    <n v="92.837902098952412"/>
    <n v="4.7756082265137811"/>
  </r>
  <r>
    <x v="2"/>
    <x v="12"/>
    <x v="2"/>
    <n v="798.38575506619623"/>
    <n v="93.349639571355951"/>
    <n v="5.6327852172827679"/>
  </r>
  <r>
    <x v="2"/>
    <x v="13"/>
    <x v="2"/>
    <n v="801.86594658464423"/>
    <n v="94.089499306632277"/>
    <n v="5.1690141196174508"/>
  </r>
  <r>
    <x v="2"/>
    <x v="14"/>
    <x v="2"/>
    <n v="853.21548463563806"/>
    <n v="94.575308361501328"/>
    <n v="4.1833808922397111"/>
  </r>
  <r>
    <x v="2"/>
    <x v="15"/>
    <x v="2"/>
    <n v="885.45726554241253"/>
    <n v="95.395358145879158"/>
    <n v="4.5518663454163164"/>
  </r>
  <r>
    <x v="2"/>
    <x v="16"/>
    <x v="2"/>
    <n v="912.18864583794903"/>
    <n v="94.851566309398038"/>
    <n v="5.4694465596861122"/>
  </r>
  <r>
    <x v="2"/>
    <x v="17"/>
    <x v="2"/>
    <n v="921.4210665441941"/>
    <n v="94.826513485554543"/>
    <n v="4.9051842600677649"/>
  </r>
  <r>
    <x v="2"/>
    <x v="18"/>
    <x v="2"/>
    <n v="920.56039173055274"/>
    <n v="94.015425998320154"/>
    <n v="4.2028751184754345"/>
  </r>
  <r>
    <x v="2"/>
    <x v="19"/>
    <x v="2"/>
    <n v="911.15087149210535"/>
    <n v="93.613732303774114"/>
    <n v="5.0777190774824685"/>
  </r>
  <r>
    <x v="2"/>
    <x v="20"/>
    <x v="2"/>
    <n v="867.67359540515565"/>
    <n v="93.300531379474506"/>
    <n v="4.8600310130423354"/>
  </r>
  <r>
    <x v="2"/>
    <x v="21"/>
    <x v="2"/>
    <n v="821.47191845587156"/>
    <n v="93.096865232067714"/>
    <n v="4.3703475506230909"/>
  </r>
  <r>
    <x v="2"/>
    <x v="22"/>
    <x v="2"/>
    <n v="764.07367503210844"/>
    <n v="93.3581774076832"/>
    <n v="4.8718553773418689"/>
  </r>
  <r>
    <x v="2"/>
    <x v="23"/>
    <x v="2"/>
    <n v="745.32846398331037"/>
    <n v="93.583264052982514"/>
    <n v="5.5166930157054681"/>
  </r>
  <r>
    <x v="3"/>
    <x v="0"/>
    <x v="2"/>
    <n v="703.42127103719349"/>
    <n v="94.303916883000909"/>
    <n v="4.6429551654666215"/>
  </r>
  <r>
    <x v="3"/>
    <x v="1"/>
    <x v="2"/>
    <n v="617.17528201031132"/>
    <n v="93.714313664093481"/>
    <n v="4.8157284688308781"/>
  </r>
  <r>
    <x v="3"/>
    <x v="2"/>
    <x v="2"/>
    <n v="561.82206831693941"/>
    <n v="94.231894139034907"/>
    <n v="4.9464455239384195"/>
  </r>
  <r>
    <x v="3"/>
    <x v="3"/>
    <x v="2"/>
    <n v="551.79456941286082"/>
    <n v="94.439508657712565"/>
    <n v="5.9037000045806334"/>
  </r>
  <r>
    <x v="3"/>
    <x v="4"/>
    <x v="2"/>
    <n v="522.59566219102317"/>
    <n v="94.030270898730819"/>
    <n v="5.6093430087590148"/>
  </r>
  <r>
    <x v="3"/>
    <x v="5"/>
    <x v="2"/>
    <n v="505.29561626105385"/>
    <n v="93.571939364073259"/>
    <n v="5.114462787478665"/>
  </r>
  <r>
    <x v="3"/>
    <x v="6"/>
    <x v="2"/>
    <n v="520.62560117361363"/>
    <n v="94.372431712235894"/>
    <n v="4.8146293703306196"/>
  </r>
  <r>
    <x v="3"/>
    <x v="7"/>
    <x v="2"/>
    <n v="532.74591491160743"/>
    <n v="93.666227318715187"/>
    <n v="5.2092187098923324"/>
  </r>
  <r>
    <x v="3"/>
    <x v="8"/>
    <x v="2"/>
    <n v="601.70752032741632"/>
    <n v="93.962014937991555"/>
    <n v="5.1810784480440235"/>
  </r>
  <r>
    <x v="3"/>
    <x v="9"/>
    <x v="2"/>
    <n v="632.1052282437812"/>
    <n v="94.347298564473178"/>
    <n v="4.5569142381679528"/>
  </r>
  <r>
    <x v="3"/>
    <x v="10"/>
    <x v="2"/>
    <n v="658.0886864370425"/>
    <n v="95.07270478686641"/>
    <n v="3.991514377039616"/>
  </r>
  <r>
    <x v="3"/>
    <x v="11"/>
    <x v="2"/>
    <n v="751.62004015445473"/>
    <n v="95.932771535160668"/>
    <n v="3.935533597928107"/>
  </r>
  <r>
    <x v="3"/>
    <x v="12"/>
    <x v="2"/>
    <n v="778.19784299504602"/>
    <n v="95.733265501355575"/>
    <n v="4.7568569542995087"/>
  </r>
  <r>
    <x v="3"/>
    <x v="13"/>
    <x v="2"/>
    <n v="824.82422657820598"/>
    <n v="95.706875885746683"/>
    <n v="4.9931698229593664"/>
  </r>
  <r>
    <x v="3"/>
    <x v="14"/>
    <x v="2"/>
    <n v="847.20929861477327"/>
    <n v="94.837205325092185"/>
    <n v="5.1675265565385597"/>
  </r>
  <r>
    <x v="3"/>
    <x v="15"/>
    <x v="2"/>
    <n v="925.63564631557301"/>
    <n v="95.304495405977889"/>
    <n v="4.6040691281119575"/>
  </r>
  <r>
    <x v="3"/>
    <x v="16"/>
    <x v="2"/>
    <n v="903.86389021555306"/>
    <n v="94.599081041015722"/>
    <n v="4.3414181343021143"/>
  </r>
  <r>
    <x v="3"/>
    <x v="17"/>
    <x v="2"/>
    <n v="926.44566064990192"/>
    <n v="94.468192848609249"/>
    <n v="3.5689967818398416"/>
  </r>
  <r>
    <x v="3"/>
    <x v="18"/>
    <x v="2"/>
    <n v="903.08043489189299"/>
    <n v="93.788997570179916"/>
    <n v="3.1887135477872577"/>
  </r>
  <r>
    <x v="3"/>
    <x v="19"/>
    <x v="2"/>
    <n v="897.44368738150331"/>
    <n v="92.837934974365879"/>
    <n v="2.9716615123670342"/>
  </r>
  <r>
    <x v="3"/>
    <x v="20"/>
    <x v="2"/>
    <n v="897.73568447967875"/>
    <n v="92.797947750441452"/>
    <n v="2.1099292596270964"/>
  </r>
  <r>
    <x v="3"/>
    <x v="21"/>
    <x v="2"/>
    <n v="861.23094773525304"/>
    <n v="92.610925581135334"/>
    <n v="1.4183983549034345"/>
  </r>
  <r>
    <x v="3"/>
    <x v="22"/>
    <x v="2"/>
    <n v="810.32249381496797"/>
    <n v="93.320071386072016"/>
    <n v="0.95237936026370607"/>
  </r>
  <r>
    <x v="3"/>
    <x v="23"/>
    <x v="2"/>
    <n v="719.32663796460668"/>
    <n v="94.102589627692566"/>
    <n v="1.1384772005444368"/>
  </r>
  <r>
    <x v="4"/>
    <x v="0"/>
    <x v="2"/>
    <n v="697.61484993193926"/>
    <n v="94.806892570484891"/>
    <n v="0.34258849952177783"/>
  </r>
  <r>
    <x v="4"/>
    <x v="1"/>
    <x v="2"/>
    <n v="630.59090612228374"/>
    <n v="94.646925500403199"/>
    <n v="1.2872877625790533"/>
  </r>
  <r>
    <x v="4"/>
    <x v="2"/>
    <x v="2"/>
    <n v="564.41929892653479"/>
    <n v="95.426683129554718"/>
    <n v="0.69512242613360553"/>
  </r>
  <r>
    <x v="4"/>
    <x v="3"/>
    <x v="2"/>
    <n v="572.54905386998712"/>
    <n v="94.735807948666036"/>
    <n v="1.6495875154705038"/>
  </r>
  <r>
    <x v="4"/>
    <x v="4"/>
    <x v="2"/>
    <n v="569.46445421586043"/>
    <n v="94.184312446301391"/>
    <n v="1.8561029698665947"/>
  </r>
  <r>
    <x v="4"/>
    <x v="5"/>
    <x v="2"/>
    <n v="527.85608957164857"/>
    <n v="93.931144647875087"/>
    <n v="1.6723088501387968"/>
  </r>
  <r>
    <x v="4"/>
    <x v="6"/>
    <x v="2"/>
    <n v="559.39134095461429"/>
    <n v="94.580449641021048"/>
    <n v="1.0644533171753099"/>
  </r>
  <r>
    <x v="4"/>
    <x v="7"/>
    <x v="2"/>
    <n v="534.90328651538755"/>
    <n v="95.235951136874107"/>
    <n v="0.60034109404007263"/>
  </r>
  <r>
    <x v="4"/>
    <x v="8"/>
    <x v="2"/>
    <n v="621.7429810793418"/>
    <n v="95.562674281157769"/>
    <n v="1.3487134876619444"/>
  </r>
  <r>
    <x v="4"/>
    <x v="9"/>
    <x v="2"/>
    <n v="650.52254862708742"/>
    <n v="95.058479492269157"/>
    <n v="0.54485457671305371"/>
  </r>
  <r>
    <x v="4"/>
    <x v="10"/>
    <x v="2"/>
    <n v="673.00473839049323"/>
    <n v="95.460073133398922"/>
    <n v="0.61998815710920496"/>
  </r>
  <r>
    <x v="4"/>
    <x v="11"/>
    <x v="2"/>
    <n v="722.54562726463325"/>
    <n v="96.307023477216376"/>
    <n v="1.4317311127159833"/>
  </r>
  <r>
    <x v="4"/>
    <x v="12"/>
    <x v="2"/>
    <n v="818.6157056616953"/>
    <n v="95.799199797811539"/>
    <n v="1.1732341259766463"/>
  </r>
  <r>
    <x v="4"/>
    <x v="13"/>
    <x v="2"/>
    <n v="858.49493627272682"/>
    <n v="94.858389678898774"/>
    <n v="1.805411337350475"/>
  </r>
  <r>
    <x v="4"/>
    <x v="14"/>
    <x v="2"/>
    <n v="855.93987764173869"/>
    <n v="95.531900431104077"/>
    <n v="1.2953891123137931"/>
  </r>
  <r>
    <x v="4"/>
    <x v="15"/>
    <x v="2"/>
    <n v="906.52186988277469"/>
    <n v="94.835201240159705"/>
    <n v="0.50270981172719431"/>
  </r>
  <r>
    <x v="4"/>
    <x v="16"/>
    <x v="2"/>
    <n v="924.01930951756719"/>
    <n v="94.856887959136742"/>
    <n v="0.59226039727117041"/>
  </r>
  <r>
    <x v="4"/>
    <x v="17"/>
    <x v="2"/>
    <n v="907.41092924127327"/>
    <n v="95.504562929476819"/>
    <n v="1.5838712471488938"/>
  </r>
  <r>
    <x v="4"/>
    <x v="18"/>
    <x v="2"/>
    <n v="894.98774125453224"/>
    <n v="95.771977050773543"/>
    <n v="2.1128413837463325"/>
  </r>
  <r>
    <x v="4"/>
    <x v="19"/>
    <x v="2"/>
    <n v="903.74030224941509"/>
    <n v="96.754986814562926"/>
    <n v="3.0473749216392965"/>
  </r>
  <r>
    <x v="4"/>
    <x v="20"/>
    <x v="2"/>
    <n v="909.89424001392956"/>
    <n v="96.073254997276564"/>
    <n v="2.164172900194453"/>
  </r>
  <r>
    <x v="4"/>
    <x v="21"/>
    <x v="2"/>
    <n v="820.98382162136818"/>
    <n v="95.903059306651016"/>
    <n v="2.5236221286506724"/>
  </r>
  <r>
    <x v="4"/>
    <x v="22"/>
    <x v="2"/>
    <n v="818.28674871570468"/>
    <n v="96.327602630078246"/>
    <n v="3.1574330027429109"/>
  </r>
  <r>
    <x v="4"/>
    <x v="23"/>
    <x v="2"/>
    <n v="738.96406691114282"/>
    <n v="96.622221781545221"/>
    <n v="4.0132073121137504"/>
  </r>
  <r>
    <x v="5"/>
    <x v="0"/>
    <x v="2"/>
    <n v="692.31108606620228"/>
    <n v="96.695528816236489"/>
    <n v="4.4774905885571217"/>
  </r>
  <r>
    <x v="5"/>
    <x v="1"/>
    <x v="2"/>
    <n v="646.96296882152365"/>
    <n v="97.49498097369613"/>
    <n v="4.8961953711567983"/>
  </r>
  <r>
    <x v="5"/>
    <x v="2"/>
    <x v="2"/>
    <n v="609.7019806387641"/>
    <n v="96.591888894263818"/>
    <n v="5.4838132313416157"/>
  </r>
  <r>
    <x v="5"/>
    <x v="3"/>
    <x v="2"/>
    <n v="558.09148504924713"/>
    <n v="96.400149514330678"/>
    <n v="4.7010558215623828"/>
  </r>
  <r>
    <x v="5"/>
    <x v="4"/>
    <x v="2"/>
    <n v="560.19187965050457"/>
    <n v="96.893758771705578"/>
    <n v="5.5664032361585898"/>
  </r>
  <r>
    <x v="5"/>
    <x v="5"/>
    <x v="2"/>
    <n v="559.20805112358846"/>
    <n v="97.340575003275291"/>
    <n v="5.2380364301047511"/>
  </r>
  <r>
    <x v="5"/>
    <x v="6"/>
    <x v="2"/>
    <n v="565.53685438294531"/>
    <n v="96.999714049610333"/>
    <n v="4.8931962500610187"/>
  </r>
  <r>
    <x v="5"/>
    <x v="7"/>
    <x v="2"/>
    <n v="563.99405180220026"/>
    <n v="97.703720578874524"/>
    <n v="4.0310405257630988"/>
  </r>
  <r>
    <x v="5"/>
    <x v="8"/>
    <x v="2"/>
    <n v="608.51668136817693"/>
    <n v="97.562805184458639"/>
    <n v="4.7726933106328264"/>
  </r>
  <r>
    <x v="5"/>
    <x v="9"/>
    <x v="2"/>
    <n v="632.35731098465226"/>
    <n v="97.30814705918462"/>
    <n v="4.2696060330986487"/>
  </r>
  <r>
    <x v="5"/>
    <x v="10"/>
    <x v="2"/>
    <n v="698.96288520971325"/>
    <n v="97.260438004794281"/>
    <n v="4.5457447152766886"/>
  </r>
  <r>
    <x v="5"/>
    <x v="11"/>
    <x v="2"/>
    <n v="760.40939644469029"/>
    <n v="97.372082517518933"/>
    <n v="4.5188680822188907"/>
  </r>
  <r>
    <x v="5"/>
    <x v="12"/>
    <x v="2"/>
    <n v="796.23572601149885"/>
    <n v="96.490788754815455"/>
    <n v="3.8727841559172669"/>
  </r>
  <r>
    <x v="5"/>
    <x v="13"/>
    <x v="2"/>
    <n v="841.40157188759406"/>
    <n v="96.271146131963818"/>
    <n v="3.870492513913693"/>
  </r>
  <r>
    <x v="5"/>
    <x v="14"/>
    <x v="2"/>
    <n v="849.81872536504648"/>
    <n v="96.615379509305868"/>
    <n v="2.9265325632696491"/>
  </r>
  <r>
    <x v="5"/>
    <x v="15"/>
    <x v="2"/>
    <n v="911.03906639865045"/>
    <n v="95.712353586712752"/>
    <n v="3.2135446554768041"/>
  </r>
  <r>
    <x v="5"/>
    <x v="16"/>
    <x v="2"/>
    <n v="929.35148527057129"/>
    <n v="96.499846727226412"/>
    <n v="2.693077740422313"/>
  </r>
  <r>
    <x v="5"/>
    <x v="17"/>
    <x v="2"/>
    <n v="953.85407837205253"/>
    <n v="96.306079482300419"/>
    <n v="2.3388762336001969"/>
  </r>
  <r>
    <x v="5"/>
    <x v="18"/>
    <x v="2"/>
    <n v="951.46101911639528"/>
    <n v="95.41460640620231"/>
    <n v="1.5971124146864062"/>
  </r>
  <r>
    <x v="5"/>
    <x v="19"/>
    <x v="2"/>
    <n v="917.69436099521931"/>
    <n v="95.763394795563627"/>
    <n v="1.5658853889614193"/>
  </r>
  <r>
    <x v="5"/>
    <x v="20"/>
    <x v="2"/>
    <n v="883.97506701956934"/>
    <n v="96.693820793101864"/>
    <n v="1.6261432590020013"/>
  </r>
  <r>
    <x v="5"/>
    <x v="21"/>
    <x v="2"/>
    <n v="804.30926374443641"/>
    <n v="97.572897081070323"/>
    <n v="2.6132138083707428"/>
  </r>
  <r>
    <x v="5"/>
    <x v="22"/>
    <x v="2"/>
    <n v="792.71597019826095"/>
    <n v="97.875163524284062"/>
    <n v="1.9513730222134233"/>
  </r>
  <r>
    <x v="5"/>
    <x v="23"/>
    <x v="2"/>
    <n v="736.11072827678049"/>
    <n v="97.830829686228938"/>
    <n v="1.8653306884223242"/>
  </r>
  <r>
    <x v="6"/>
    <x v="0"/>
    <x v="2"/>
    <n v="680.18733718234148"/>
    <n v="97.170017685308736"/>
    <n v="1.5192291546390031"/>
  </r>
  <r>
    <x v="6"/>
    <x v="1"/>
    <x v="2"/>
    <n v="655.52113687548604"/>
    <n v="97.062512220987628"/>
    <n v="1.0861086135877924"/>
  </r>
  <r>
    <x v="6"/>
    <x v="2"/>
    <x v="2"/>
    <n v="578.10949033822158"/>
    <n v="97.717076197486492"/>
    <n v="0.25830958506656509"/>
  </r>
  <r>
    <x v="6"/>
    <x v="3"/>
    <x v="2"/>
    <n v="536.7257454532039"/>
    <n v="96.731312744613035"/>
    <n v="0.72000718986818513"/>
  </r>
  <r>
    <x v="6"/>
    <x v="4"/>
    <x v="2"/>
    <n v="565.87431059573726"/>
    <n v="95.928970928469155"/>
    <n v="0.97134577855061732"/>
  </r>
  <r>
    <x v="6"/>
    <x v="5"/>
    <x v="2"/>
    <n v="538.89294919752524"/>
    <n v="96.475912989803604"/>
    <n v="1.3138496603004963"/>
  </r>
  <r>
    <x v="6"/>
    <x v="6"/>
    <x v="2"/>
    <n v="552.09350412076867"/>
    <n v="95.697974479243754"/>
    <n v="1.47046931545654"/>
  </r>
  <r>
    <x v="6"/>
    <x v="7"/>
    <x v="2"/>
    <n v="584.98551986599136"/>
    <n v="95.89415985325293"/>
    <n v="1.971435550258001"/>
  </r>
  <r>
    <x v="6"/>
    <x v="8"/>
    <x v="2"/>
    <n v="594.35451134947937"/>
    <n v="96.550701242358016"/>
    <n v="1.4775182342512796"/>
  </r>
  <r>
    <x v="6"/>
    <x v="9"/>
    <x v="2"/>
    <n v="611.20235796716543"/>
    <n v="97.444637845783461"/>
    <n v="2.0111092757519762"/>
  </r>
  <r>
    <x v="6"/>
    <x v="10"/>
    <x v="2"/>
    <n v="663.59781793072148"/>
    <n v="96.536970225327821"/>
    <n v="1.0978373189073722"/>
  </r>
  <r>
    <x v="6"/>
    <x v="11"/>
    <x v="2"/>
    <n v="734.0720902133952"/>
    <n v="97.342850674329583"/>
    <n v="0.59639459522050886"/>
  </r>
  <r>
    <x v="6"/>
    <x v="12"/>
    <x v="2"/>
    <n v="761.09441575427093"/>
    <n v="98.028644326998005"/>
    <n v="1.5759682645267779"/>
  </r>
  <r>
    <x v="6"/>
    <x v="13"/>
    <x v="2"/>
    <n v="818.11192452524563"/>
    <n v="97.554402536424064"/>
    <n v="1.7188583974803995"/>
  </r>
  <r>
    <x v="6"/>
    <x v="14"/>
    <x v="2"/>
    <n v="881.45136008084296"/>
    <n v="98.451806084524648"/>
    <n v="1.9799922998584956"/>
  </r>
  <r>
    <x v="6"/>
    <x v="15"/>
    <x v="2"/>
    <n v="878.18894683323549"/>
    <n v="98.334522237734447"/>
    <n v="2.2208054075433683"/>
  </r>
  <r>
    <x v="6"/>
    <x v="16"/>
    <x v="2"/>
    <n v="923.58208884955752"/>
    <n v="97.488410012378864"/>
    <n v="1.9146580301990022"/>
  </r>
  <r>
    <x v="6"/>
    <x v="17"/>
    <x v="2"/>
    <n v="945.45079465140213"/>
    <n v="98.472630648698512"/>
    <n v="2.2031195095679497"/>
  </r>
  <r>
    <x v="6"/>
    <x v="18"/>
    <x v="2"/>
    <n v="916.5379249161964"/>
    <n v="99.170352708379625"/>
    <n v="2.0629554464529054"/>
  </r>
  <r>
    <x v="6"/>
    <x v="19"/>
    <x v="2"/>
    <n v="892.35183016491351"/>
    <n v="98.312138491331183"/>
    <n v="3.0491881260915177"/>
  </r>
  <r>
    <x v="6"/>
    <x v="20"/>
    <x v="2"/>
    <n v="881.90092940754141"/>
    <n v="97.937378997532988"/>
    <n v="3.6847638242245786"/>
  </r>
  <r>
    <x v="6"/>
    <x v="21"/>
    <x v="2"/>
    <n v="826.83868859093218"/>
    <n v="97.184493456123846"/>
    <n v="4.3237046908864674"/>
  </r>
  <r>
    <x v="6"/>
    <x v="22"/>
    <x v="2"/>
    <n v="807.06298935349525"/>
    <n v="96.365261263559759"/>
    <n v="4.992078553821556"/>
  </r>
  <r>
    <x v="6"/>
    <x v="23"/>
    <x v="2"/>
    <n v="713.3401728410181"/>
    <n v="97.224657272519266"/>
    <n v="5.4119392423678931"/>
  </r>
  <r>
    <x v="7"/>
    <x v="24"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 chartFormat="2">
  <location ref="AV3:BA173" firstHeaderRow="1" firstDataRow="2" firstDataCol="2"/>
  <pivotFields count="6">
    <pivotField axis="axisRow" compact="0" numFmtId="14" outline="0" showAll="0" measureFilter="1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numFmtId="20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dataField="1" compact="0" outline="0" showAll="0"/>
  </pivotFields>
  <rowFields count="2">
    <field x="0"/>
    <field x="1"/>
  </rowFields>
  <rowItems count="16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KPI 03" fld="5" baseField="0" baseItem="0"/>
  </dataFields>
  <chartFormats count="4"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 chartFormat="2">
  <location ref="AO3:AT173" firstHeaderRow="1" firstDataRow="2" firstDataCol="2"/>
  <pivotFields count="6">
    <pivotField axis="axisRow" compact="0" numFmtId="14" outline="0" showAll="0" measureFilter="1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numFmtId="20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dataField="1" compact="0" outline="0" showAll="0"/>
    <pivotField compact="0" outline="0" showAll="0"/>
  </pivotFields>
  <rowFields count="2">
    <field x="0"/>
    <field x="1"/>
  </rowFields>
  <rowItems count="16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KPI 02" fld="4" baseField="0" baseItem="0"/>
  </dataFields>
  <chartFormats count="4"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 chartFormat="7">
  <location ref="AH3:AM173" firstHeaderRow="1" firstDataRow="2" firstDataCol="2"/>
  <pivotFields count="6">
    <pivotField axis="axisRow" compact="0" numFmtId="14" outline="0" showAll="0" measureFilter="1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numFmtId="20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dataField="1" compact="0" outline="0" showAll="0"/>
    <pivotField compact="0" outline="0" showAll="0"/>
    <pivotField compact="0" outline="0" showAll="0"/>
  </pivotFields>
  <rowFields count="2">
    <field x="0"/>
    <field x="1"/>
  </rowFields>
  <rowItems count="16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KPI 01" fld="3" baseField="0" baseItem="0"/>
  </dataFields>
  <chartFormats count="4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A3:BA173"/>
  <sheetViews>
    <sheetView workbookViewId="0">
      <selection activeCell="T23" sqref="T23"/>
    </sheetView>
  </sheetViews>
  <sheetFormatPr defaultRowHeight="15" x14ac:dyDescent="0.25"/>
  <cols>
    <col min="1" max="1" width="13.140625" bestFit="1" customWidth="1"/>
    <col min="2" max="2" width="7.5703125" customWidth="1"/>
    <col min="3" max="3" width="12" customWidth="1"/>
    <col min="4" max="6" width="12" bestFit="1" customWidth="1"/>
    <col min="35" max="35" width="7.5703125" customWidth="1"/>
    <col min="36" max="38" width="12" bestFit="1" customWidth="1"/>
    <col min="39" max="39" width="7.28515625" customWidth="1"/>
    <col min="42" max="42" width="7.5703125" customWidth="1"/>
    <col min="43" max="45" width="12" bestFit="1" customWidth="1"/>
    <col min="46" max="46" width="7.28515625" customWidth="1"/>
    <col min="49" max="49" width="7.5703125" customWidth="1"/>
    <col min="50" max="52" width="12" bestFit="1" customWidth="1"/>
    <col min="53" max="53" width="7.28515625" customWidth="1"/>
  </cols>
  <sheetData>
    <row r="3" spans="27:53" x14ac:dyDescent="0.25">
      <c r="AH3" s="3" t="s">
        <v>10</v>
      </c>
      <c r="AJ3" s="3" t="s">
        <v>2</v>
      </c>
      <c r="AO3" s="3" t="s">
        <v>11</v>
      </c>
      <c r="AQ3" s="3" t="s">
        <v>2</v>
      </c>
      <c r="AV3" s="3" t="s">
        <v>12</v>
      </c>
      <c r="AX3" s="3" t="s">
        <v>2</v>
      </c>
    </row>
    <row r="4" spans="27:53" x14ac:dyDescent="0.25">
      <c r="AA4">
        <f ca="1">AB4+AC4+AD4</f>
        <v>698</v>
      </c>
      <c r="AB4">
        <f ca="1">RANDBETWEEN(-10,10)</f>
        <v>-2</v>
      </c>
      <c r="AC4">
        <f>AD4+700</f>
        <v>700</v>
      </c>
      <c r="AD4">
        <f>100*AE4</f>
        <v>0</v>
      </c>
      <c r="AE4">
        <f>SIN(RADIANS(AF4))</f>
        <v>0</v>
      </c>
      <c r="AF4">
        <v>0</v>
      </c>
      <c r="AH4" s="3" t="s">
        <v>0</v>
      </c>
      <c r="AI4" s="3" t="s">
        <v>1</v>
      </c>
      <c r="AJ4" t="s">
        <v>6</v>
      </c>
      <c r="AK4" t="s">
        <v>7</v>
      </c>
      <c r="AL4" t="s">
        <v>8</v>
      </c>
      <c r="AM4" t="s">
        <v>13</v>
      </c>
      <c r="AO4" s="3" t="s">
        <v>0</v>
      </c>
      <c r="AP4" s="3" t="s">
        <v>1</v>
      </c>
      <c r="AQ4" t="s">
        <v>6</v>
      </c>
      <c r="AR4" t="s">
        <v>7</v>
      </c>
      <c r="AS4" t="s">
        <v>8</v>
      </c>
      <c r="AT4" t="s">
        <v>13</v>
      </c>
      <c r="AV4" s="3" t="s">
        <v>0</v>
      </c>
      <c r="AW4" s="3" t="s">
        <v>1</v>
      </c>
      <c r="AX4" t="s">
        <v>6</v>
      </c>
      <c r="AY4" t="s">
        <v>7</v>
      </c>
      <c r="AZ4" t="s">
        <v>8</v>
      </c>
      <c r="BA4" t="s">
        <v>13</v>
      </c>
    </row>
    <row r="5" spans="27:53" x14ac:dyDescent="0.25">
      <c r="AA5">
        <f t="shared" ref="AA5:AA68" ca="1" si="0">AB5+AC5+AD5</f>
        <v>742.76380902050414</v>
      </c>
      <c r="AB5">
        <f t="shared" ref="AB5:AB68" ca="1" si="1">RANDBETWEEN(-10,10)</f>
        <v>-9</v>
      </c>
      <c r="AC5">
        <f t="shared" ref="AC5:AC68" si="2">AD5+700</f>
        <v>725.88190451025207</v>
      </c>
      <c r="AD5">
        <f t="shared" ref="AD5:AD68" si="3">100*AE5</f>
        <v>25.881904510252074</v>
      </c>
      <c r="AE5">
        <f t="shared" ref="AE5:AE68" si="4">SIN(RADIANS(AF5))</f>
        <v>0.25881904510252074</v>
      </c>
      <c r="AF5">
        <f>AF4+15</f>
        <v>15</v>
      </c>
      <c r="AH5" s="1">
        <v>43466</v>
      </c>
      <c r="AI5" s="2">
        <v>0</v>
      </c>
      <c r="AJ5" s="4">
        <v>478.34022202830829</v>
      </c>
      <c r="AK5" s="4">
        <v>561.76573797510832</v>
      </c>
      <c r="AL5" s="4">
        <v>659.62073395059792</v>
      </c>
      <c r="AM5" s="4"/>
      <c r="AO5" s="1">
        <v>43466</v>
      </c>
      <c r="AP5" s="2">
        <v>0</v>
      </c>
      <c r="AQ5" s="4">
        <v>92.677426003748479</v>
      </c>
      <c r="AR5" s="4">
        <v>85.582381793446601</v>
      </c>
      <c r="AS5" s="4">
        <v>85.838059742120805</v>
      </c>
      <c r="AT5" s="4"/>
      <c r="AV5" s="1">
        <v>43466</v>
      </c>
      <c r="AW5" s="2">
        <v>0</v>
      </c>
      <c r="AX5" s="4">
        <v>4.452721591877097</v>
      </c>
      <c r="AY5" s="4">
        <v>4.3613132262576162</v>
      </c>
      <c r="AZ5" s="4">
        <v>2.2167265947908907</v>
      </c>
      <c r="BA5" s="4"/>
    </row>
    <row r="6" spans="27:53" x14ac:dyDescent="0.25">
      <c r="AA6">
        <f t="shared" ca="1" si="0"/>
        <v>803</v>
      </c>
      <c r="AB6">
        <f t="shared" ca="1" si="1"/>
        <v>3</v>
      </c>
      <c r="AC6">
        <f t="shared" si="2"/>
        <v>750</v>
      </c>
      <c r="AD6">
        <f t="shared" si="3"/>
        <v>49.999999999999993</v>
      </c>
      <c r="AE6">
        <f t="shared" si="4"/>
        <v>0.49999999999999994</v>
      </c>
      <c r="AF6">
        <f t="shared" ref="AF6:AF69" si="5">AF5+15</f>
        <v>30</v>
      </c>
      <c r="AI6" s="2">
        <v>4.1666666666666664E-2</v>
      </c>
      <c r="AJ6" s="4">
        <v>411.32864627211205</v>
      </c>
      <c r="AK6" s="4">
        <v>510.22406544515439</v>
      </c>
      <c r="AL6" s="4">
        <v>609.18874850379086</v>
      </c>
      <c r="AM6" s="4"/>
      <c r="AP6" s="2">
        <v>4.1666666666666664E-2</v>
      </c>
      <c r="AQ6" s="4">
        <v>92.340227688069632</v>
      </c>
      <c r="AR6" s="4">
        <v>84.775097885292709</v>
      </c>
      <c r="AS6" s="4">
        <v>85.983018012514691</v>
      </c>
      <c r="AT6" s="4"/>
      <c r="AW6" s="2">
        <v>4.1666666666666664E-2</v>
      </c>
      <c r="AX6" s="4">
        <v>4.2277630099443018</v>
      </c>
      <c r="AY6" s="4">
        <v>3.4187486797365656</v>
      </c>
      <c r="AZ6" s="4">
        <v>1.9787516175973163</v>
      </c>
      <c r="BA6" s="4"/>
    </row>
    <row r="7" spans="27:53" x14ac:dyDescent="0.25">
      <c r="AA7">
        <f t="shared" ca="1" si="0"/>
        <v>833.42135623730951</v>
      </c>
      <c r="AB7">
        <f t="shared" ca="1" si="1"/>
        <v>-8</v>
      </c>
      <c r="AC7">
        <f t="shared" si="2"/>
        <v>770.71067811865476</v>
      </c>
      <c r="AD7">
        <f t="shared" si="3"/>
        <v>70.710678118654741</v>
      </c>
      <c r="AE7">
        <f t="shared" si="4"/>
        <v>0.70710678118654746</v>
      </c>
      <c r="AF7">
        <f t="shared" si="5"/>
        <v>45</v>
      </c>
      <c r="AI7" s="2">
        <v>8.3333333333333329E-2</v>
      </c>
      <c r="AJ7" s="4">
        <v>409.08539731870536</v>
      </c>
      <c r="AK7" s="4">
        <v>503.07613540813281</v>
      </c>
      <c r="AL7" s="4">
        <v>563.55580589633485</v>
      </c>
      <c r="AM7" s="4"/>
      <c r="AP7" s="2">
        <v>8.3333333333333329E-2</v>
      </c>
      <c r="AQ7" s="4">
        <v>91.393078325244616</v>
      </c>
      <c r="AR7" s="4">
        <v>85.456319297663512</v>
      </c>
      <c r="AS7" s="4">
        <v>86.259886870572274</v>
      </c>
      <c r="AT7" s="4"/>
      <c r="AW7" s="2">
        <v>8.3333333333333329E-2</v>
      </c>
      <c r="AX7" s="4">
        <v>3.9577905379387119</v>
      </c>
      <c r="AY7" s="4">
        <v>3.0934684688819623</v>
      </c>
      <c r="AZ7" s="4">
        <v>1.2883991842960283</v>
      </c>
      <c r="BA7" s="4"/>
    </row>
    <row r="8" spans="27:53" x14ac:dyDescent="0.25">
      <c r="AA8">
        <f t="shared" ca="1" si="0"/>
        <v>867.20508075688781</v>
      </c>
      <c r="AB8">
        <f t="shared" ca="1" si="1"/>
        <v>-6</v>
      </c>
      <c r="AC8">
        <f t="shared" si="2"/>
        <v>786.6025403784439</v>
      </c>
      <c r="AD8">
        <f t="shared" si="3"/>
        <v>86.602540378443862</v>
      </c>
      <c r="AE8">
        <f t="shared" si="4"/>
        <v>0.8660254037844386</v>
      </c>
      <c r="AF8">
        <f t="shared" si="5"/>
        <v>60</v>
      </c>
      <c r="AI8" s="2">
        <v>0.125</v>
      </c>
      <c r="AJ8" s="4">
        <v>341.66296143097981</v>
      </c>
      <c r="AK8" s="4">
        <v>452.73744831899592</v>
      </c>
      <c r="AL8" s="4">
        <v>594.38472031869526</v>
      </c>
      <c r="AM8" s="4"/>
      <c r="AP8" s="2">
        <v>0.125</v>
      </c>
      <c r="AQ8" s="4">
        <v>91.492729080430976</v>
      </c>
      <c r="AR8" s="4">
        <v>85.46265770897233</v>
      </c>
      <c r="AS8" s="4">
        <v>87.254093849776211</v>
      </c>
      <c r="AT8" s="4"/>
      <c r="AW8" s="2">
        <v>0.125</v>
      </c>
      <c r="AX8" s="4">
        <v>4.0052020274649731</v>
      </c>
      <c r="AY8" s="4">
        <v>2.2069157338567731</v>
      </c>
      <c r="AZ8" s="4">
        <v>1.3884571000461068</v>
      </c>
      <c r="BA8" s="4"/>
    </row>
    <row r="9" spans="27:53" x14ac:dyDescent="0.25">
      <c r="AA9">
        <f t="shared" ca="1" si="0"/>
        <v>885.18516525781365</v>
      </c>
      <c r="AB9">
        <f t="shared" ca="1" si="1"/>
        <v>-8</v>
      </c>
      <c r="AC9">
        <f t="shared" si="2"/>
        <v>796.59258262890683</v>
      </c>
      <c r="AD9">
        <f t="shared" si="3"/>
        <v>96.592582628906825</v>
      </c>
      <c r="AE9">
        <f t="shared" si="4"/>
        <v>0.96592582628906831</v>
      </c>
      <c r="AF9">
        <f t="shared" si="5"/>
        <v>75</v>
      </c>
      <c r="AI9" s="2">
        <v>0.16666666666666666</v>
      </c>
      <c r="AJ9" s="4">
        <v>309.97658404853541</v>
      </c>
      <c r="AK9" s="4">
        <v>448.39175757593279</v>
      </c>
      <c r="AL9" s="4">
        <v>519.72627263855134</v>
      </c>
      <c r="AM9" s="4"/>
      <c r="AP9" s="2">
        <v>0.16666666666666666</v>
      </c>
      <c r="AQ9" s="4">
        <v>91.231260488582564</v>
      </c>
      <c r="AR9" s="4">
        <v>85.717753896592356</v>
      </c>
      <c r="AS9" s="4">
        <v>87.578522047142229</v>
      </c>
      <c r="AT9" s="4"/>
      <c r="AW9" s="2">
        <v>0.16666666666666666</v>
      </c>
      <c r="AX9" s="4">
        <v>4.216314279288131</v>
      </c>
      <c r="AY9" s="4">
        <v>2.6221101747024598</v>
      </c>
      <c r="AZ9" s="4">
        <v>2.259965289156816</v>
      </c>
      <c r="BA9" s="4"/>
    </row>
    <row r="10" spans="27:53" x14ac:dyDescent="0.25">
      <c r="AA10">
        <f t="shared" ca="1" si="0"/>
        <v>893</v>
      </c>
      <c r="AB10">
        <f t="shared" ca="1" si="1"/>
        <v>-7</v>
      </c>
      <c r="AC10">
        <f t="shared" si="2"/>
        <v>800</v>
      </c>
      <c r="AD10">
        <f t="shared" si="3"/>
        <v>100</v>
      </c>
      <c r="AE10">
        <f t="shared" si="4"/>
        <v>1</v>
      </c>
      <c r="AF10">
        <f t="shared" si="5"/>
        <v>90</v>
      </c>
      <c r="AI10" s="2">
        <v>0.20833333333333334</v>
      </c>
      <c r="AJ10" s="4">
        <v>330.10875599758583</v>
      </c>
      <c r="AK10" s="4">
        <v>437.2644952805706</v>
      </c>
      <c r="AL10" s="4">
        <v>522.74018815634008</v>
      </c>
      <c r="AM10" s="4"/>
      <c r="AP10" s="2">
        <v>0.20833333333333334</v>
      </c>
      <c r="AQ10" s="4">
        <v>90.440725079143718</v>
      </c>
      <c r="AR10" s="4">
        <v>86.170069226387739</v>
      </c>
      <c r="AS10" s="4">
        <v>87.501551417517163</v>
      </c>
      <c r="AT10" s="4"/>
      <c r="AW10" s="2">
        <v>0.20833333333333334</v>
      </c>
      <c r="AX10" s="4">
        <v>4.0148846265642026</v>
      </c>
      <c r="AY10" s="4">
        <v>3.6219930189446283</v>
      </c>
      <c r="AZ10" s="4">
        <v>3.1054324707750451</v>
      </c>
      <c r="BA10" s="4"/>
    </row>
    <row r="11" spans="27:53" x14ac:dyDescent="0.25">
      <c r="AA11">
        <f t="shared" ca="1" si="0"/>
        <v>899.18516525781365</v>
      </c>
      <c r="AB11">
        <f t="shared" ca="1" si="1"/>
        <v>6</v>
      </c>
      <c r="AC11">
        <f t="shared" si="2"/>
        <v>796.59258262890683</v>
      </c>
      <c r="AD11">
        <f t="shared" si="3"/>
        <v>96.592582628906825</v>
      </c>
      <c r="AE11">
        <f t="shared" si="4"/>
        <v>0.96592582628906831</v>
      </c>
      <c r="AF11">
        <f t="shared" si="5"/>
        <v>105</v>
      </c>
      <c r="AI11" s="2">
        <v>0.25</v>
      </c>
      <c r="AJ11" s="4">
        <v>361.68911220123488</v>
      </c>
      <c r="AK11" s="4">
        <v>420.97523231109665</v>
      </c>
      <c r="AL11" s="4">
        <v>532.99571818149479</v>
      </c>
      <c r="AM11" s="4"/>
      <c r="AP11" s="2">
        <v>0.25</v>
      </c>
      <c r="AQ11" s="4">
        <v>89.56656942603712</v>
      </c>
      <c r="AR11" s="4">
        <v>86.794747036657142</v>
      </c>
      <c r="AS11" s="4">
        <v>87.876852666470398</v>
      </c>
      <c r="AT11" s="4"/>
      <c r="AW11" s="2">
        <v>0.25</v>
      </c>
      <c r="AX11" s="4">
        <v>3.3931371487909914</v>
      </c>
      <c r="AY11" s="4">
        <v>3.3530048867537903</v>
      </c>
      <c r="AZ11" s="4">
        <v>3.4997022492317322</v>
      </c>
      <c r="BA11" s="4"/>
    </row>
    <row r="12" spans="27:53" x14ac:dyDescent="0.25">
      <c r="AA12">
        <f t="shared" ca="1" si="0"/>
        <v>866.20508075688781</v>
      </c>
      <c r="AB12">
        <f t="shared" ca="1" si="1"/>
        <v>-7</v>
      </c>
      <c r="AC12">
        <f t="shared" si="2"/>
        <v>786.6025403784439</v>
      </c>
      <c r="AD12">
        <f t="shared" si="3"/>
        <v>86.602540378443877</v>
      </c>
      <c r="AE12">
        <f t="shared" si="4"/>
        <v>0.86602540378443871</v>
      </c>
      <c r="AF12">
        <f t="shared" si="5"/>
        <v>120</v>
      </c>
      <c r="AI12" s="2">
        <v>0.29166666666666669</v>
      </c>
      <c r="AJ12" s="4">
        <v>365.94214591249903</v>
      </c>
      <c r="AK12" s="4">
        <v>443.40652335681807</v>
      </c>
      <c r="AL12" s="4">
        <v>587.40831660065135</v>
      </c>
      <c r="AM12" s="4"/>
      <c r="AP12" s="2">
        <v>0.29166666666666669</v>
      </c>
      <c r="AQ12" s="4">
        <v>90.268963145540113</v>
      </c>
      <c r="AR12" s="4">
        <v>86.295279741220256</v>
      </c>
      <c r="AS12" s="4">
        <v>88.25284825902709</v>
      </c>
      <c r="AT12" s="4"/>
      <c r="AW12" s="2">
        <v>0.29166666666666669</v>
      </c>
      <c r="AX12" s="4">
        <v>3.0141400062858894</v>
      </c>
      <c r="AY12" s="4">
        <v>3.1127528897970307</v>
      </c>
      <c r="AZ12" s="4">
        <v>4.0246378431378398</v>
      </c>
      <c r="BA12" s="4"/>
    </row>
    <row r="13" spans="27:53" x14ac:dyDescent="0.25">
      <c r="AA13">
        <f t="shared" ca="1" si="0"/>
        <v>838.42135623730951</v>
      </c>
      <c r="AB13">
        <f t="shared" ca="1" si="1"/>
        <v>-3</v>
      </c>
      <c r="AC13">
        <f t="shared" si="2"/>
        <v>770.71067811865476</v>
      </c>
      <c r="AD13">
        <f t="shared" si="3"/>
        <v>70.710678118654755</v>
      </c>
      <c r="AE13">
        <f t="shared" si="4"/>
        <v>0.70710678118654757</v>
      </c>
      <c r="AF13">
        <f t="shared" si="5"/>
        <v>135</v>
      </c>
      <c r="AI13" s="2">
        <v>0.33333333333333331</v>
      </c>
      <c r="AJ13" s="4">
        <v>386.32303024835028</v>
      </c>
      <c r="AK13" s="4">
        <v>484.86513324219408</v>
      </c>
      <c r="AL13" s="4">
        <v>606.34950785590593</v>
      </c>
      <c r="AM13" s="4"/>
      <c r="AP13" s="2">
        <v>0.33333333333333331</v>
      </c>
      <c r="AQ13" s="4">
        <v>91.263175159707316</v>
      </c>
      <c r="AR13" s="4">
        <v>87.145482784433341</v>
      </c>
      <c r="AS13" s="4">
        <v>87.462090789626799</v>
      </c>
      <c r="AT13" s="4"/>
      <c r="AW13" s="2">
        <v>0.33333333333333331</v>
      </c>
      <c r="AX13" s="4">
        <v>2.8727897182105355</v>
      </c>
      <c r="AY13" s="4">
        <v>2.6891317427612451</v>
      </c>
      <c r="AZ13" s="4">
        <v>3.6923619036800996</v>
      </c>
      <c r="BA13" s="4"/>
    </row>
    <row r="14" spans="27:53" x14ac:dyDescent="0.25">
      <c r="AA14">
        <f t="shared" ca="1" si="0"/>
        <v>806</v>
      </c>
      <c r="AB14">
        <f t="shared" ca="1" si="1"/>
        <v>6</v>
      </c>
      <c r="AC14">
        <f t="shared" si="2"/>
        <v>750</v>
      </c>
      <c r="AD14">
        <f t="shared" si="3"/>
        <v>49.999999999999993</v>
      </c>
      <c r="AE14">
        <f t="shared" si="4"/>
        <v>0.49999999999999994</v>
      </c>
      <c r="AF14">
        <f t="shared" si="5"/>
        <v>150</v>
      </c>
      <c r="AI14" s="2">
        <v>0.375</v>
      </c>
      <c r="AJ14" s="4">
        <v>448.11990742539206</v>
      </c>
      <c r="AK14" s="4">
        <v>505.79744655321457</v>
      </c>
      <c r="AL14" s="4">
        <v>614.87813465698002</v>
      </c>
      <c r="AM14" s="4"/>
      <c r="AP14" s="2">
        <v>0.375</v>
      </c>
      <c r="AQ14" s="4">
        <v>91.63827506862043</v>
      </c>
      <c r="AR14" s="4">
        <v>87.097395444276174</v>
      </c>
      <c r="AS14" s="4">
        <v>87.721841313348008</v>
      </c>
      <c r="AT14" s="4"/>
      <c r="AW14" s="2">
        <v>0.375</v>
      </c>
      <c r="AX14" s="4">
        <v>3.6082736250739491</v>
      </c>
      <c r="AY14" s="4">
        <v>3.3378201836736467</v>
      </c>
      <c r="AZ14" s="4">
        <v>3.2969191247527774</v>
      </c>
      <c r="BA14" s="4"/>
    </row>
    <row r="15" spans="27:53" x14ac:dyDescent="0.25">
      <c r="AA15">
        <f t="shared" ca="1" si="0"/>
        <v>743.76380902050414</v>
      </c>
      <c r="AB15">
        <f t="shared" ca="1" si="1"/>
        <v>-8</v>
      </c>
      <c r="AC15">
        <f t="shared" si="2"/>
        <v>725.88190451025207</v>
      </c>
      <c r="AD15">
        <f t="shared" si="3"/>
        <v>25.881904510252102</v>
      </c>
      <c r="AE15">
        <f t="shared" si="4"/>
        <v>0.25881904510252102</v>
      </c>
      <c r="AF15">
        <f t="shared" si="5"/>
        <v>165</v>
      </c>
      <c r="AI15" s="2">
        <v>0.41666666666666669</v>
      </c>
      <c r="AJ15" s="4">
        <v>475.36732292645223</v>
      </c>
      <c r="AK15" s="4">
        <v>580.2442085757707</v>
      </c>
      <c r="AL15" s="4">
        <v>661.59828818517201</v>
      </c>
      <c r="AM15" s="4"/>
      <c r="AP15" s="2">
        <v>0.41666666666666669</v>
      </c>
      <c r="AQ15" s="4">
        <v>91.36632337232713</v>
      </c>
      <c r="AR15" s="4">
        <v>86.877608980867407</v>
      </c>
      <c r="AS15" s="4">
        <v>87.624738172947175</v>
      </c>
      <c r="AT15" s="4"/>
      <c r="AW15" s="2">
        <v>0.41666666666666669</v>
      </c>
      <c r="AX15" s="4">
        <v>4.480536764580803</v>
      </c>
      <c r="AY15" s="4">
        <v>3.1878291094263003</v>
      </c>
      <c r="AZ15" s="4">
        <v>3.1036352998541119</v>
      </c>
      <c r="BA15" s="4"/>
    </row>
    <row r="16" spans="27:53" x14ac:dyDescent="0.25">
      <c r="AA16">
        <f t="shared" ca="1" si="0"/>
        <v>708</v>
      </c>
      <c r="AB16">
        <f t="shared" ca="1" si="1"/>
        <v>8</v>
      </c>
      <c r="AC16">
        <f t="shared" si="2"/>
        <v>700</v>
      </c>
      <c r="AD16">
        <f t="shared" si="3"/>
        <v>1.22514845490862E-14</v>
      </c>
      <c r="AE16">
        <f t="shared" si="4"/>
        <v>1.22514845490862E-16</v>
      </c>
      <c r="AF16">
        <f t="shared" si="5"/>
        <v>180</v>
      </c>
      <c r="AI16" s="2">
        <v>0.45833333333333331</v>
      </c>
      <c r="AJ16" s="4">
        <v>513.06760006944819</v>
      </c>
      <c r="AK16" s="4">
        <v>662.26888933256487</v>
      </c>
      <c r="AL16" s="4">
        <v>718.54673437101678</v>
      </c>
      <c r="AM16" s="4"/>
      <c r="AP16" s="2">
        <v>0.45833333333333331</v>
      </c>
      <c r="AQ16" s="4">
        <v>91.640349189873916</v>
      </c>
      <c r="AR16" s="4">
        <v>86.594161070396737</v>
      </c>
      <c r="AS16" s="4">
        <v>87.241119038880441</v>
      </c>
      <c r="AT16" s="4"/>
      <c r="AW16" s="2">
        <v>0.45833333333333331</v>
      </c>
      <c r="AX16" s="4">
        <v>5.2281871580064667</v>
      </c>
      <c r="AY16" s="4">
        <v>2.5889197709887717</v>
      </c>
      <c r="AZ16" s="4">
        <v>3.2020241591263976</v>
      </c>
      <c r="BA16" s="4"/>
    </row>
    <row r="17" spans="27:53" x14ac:dyDescent="0.25">
      <c r="AA17">
        <f t="shared" ca="1" si="0"/>
        <v>658.23619097949586</v>
      </c>
      <c r="AB17">
        <f t="shared" ca="1" si="1"/>
        <v>10</v>
      </c>
      <c r="AC17">
        <f t="shared" si="2"/>
        <v>674.11809548974793</v>
      </c>
      <c r="AD17">
        <f t="shared" si="3"/>
        <v>-25.881904510252081</v>
      </c>
      <c r="AE17">
        <f t="shared" si="4"/>
        <v>-0.25881904510252079</v>
      </c>
      <c r="AF17">
        <f t="shared" si="5"/>
        <v>195</v>
      </c>
      <c r="AI17" s="2">
        <v>0.5</v>
      </c>
      <c r="AJ17" s="4">
        <v>569.87419319905439</v>
      </c>
      <c r="AK17" s="4">
        <v>674.06133869762289</v>
      </c>
      <c r="AL17" s="4">
        <v>766.51746950208428</v>
      </c>
      <c r="AM17" s="4"/>
      <c r="AP17" s="2">
        <v>0.5</v>
      </c>
      <c r="AQ17" s="4">
        <v>92.41712163974195</v>
      </c>
      <c r="AR17" s="4">
        <v>85.675222763744301</v>
      </c>
      <c r="AS17" s="4">
        <v>87.880156344649521</v>
      </c>
      <c r="AT17" s="4"/>
      <c r="AW17" s="2">
        <v>0.5</v>
      </c>
      <c r="AX17" s="4">
        <v>4.9876276320659736</v>
      </c>
      <c r="AY17" s="4">
        <v>1.77661844820694</v>
      </c>
      <c r="AZ17" s="4">
        <v>3.8092574957863454</v>
      </c>
      <c r="BA17" s="4"/>
    </row>
    <row r="18" spans="27:53" x14ac:dyDescent="0.25">
      <c r="AA18">
        <f t="shared" ca="1" si="0"/>
        <v>610</v>
      </c>
      <c r="AB18">
        <f t="shared" ca="1" si="1"/>
        <v>10</v>
      </c>
      <c r="AC18">
        <f t="shared" si="2"/>
        <v>650</v>
      </c>
      <c r="AD18">
        <f t="shared" si="3"/>
        <v>-50.000000000000014</v>
      </c>
      <c r="AE18">
        <f t="shared" si="4"/>
        <v>-0.50000000000000011</v>
      </c>
      <c r="AF18">
        <f t="shared" si="5"/>
        <v>210</v>
      </c>
      <c r="AI18" s="2">
        <v>0.54166666666666663</v>
      </c>
      <c r="AJ18" s="4">
        <v>609.46909743474214</v>
      </c>
      <c r="AK18" s="4">
        <v>757.28996392016199</v>
      </c>
      <c r="AL18" s="4">
        <v>837.41933455569165</v>
      </c>
      <c r="AM18" s="4"/>
      <c r="AP18" s="2">
        <v>0.54166666666666663</v>
      </c>
      <c r="AQ18" s="4">
        <v>92.797879897616696</v>
      </c>
      <c r="AR18" s="4">
        <v>86.22011755120414</v>
      </c>
      <c r="AS18" s="4">
        <v>87.763552533469323</v>
      </c>
      <c r="AT18" s="4"/>
      <c r="AW18" s="2">
        <v>0.54166666666666663</v>
      </c>
      <c r="AX18" s="4">
        <v>5.1812692672906744</v>
      </c>
      <c r="AY18" s="4">
        <v>1.7457671450973684</v>
      </c>
      <c r="AZ18" s="4">
        <v>3.6802957317293501</v>
      </c>
      <c r="BA18" s="4"/>
    </row>
    <row r="19" spans="27:53" x14ac:dyDescent="0.25">
      <c r="AA19">
        <f t="shared" ca="1" si="0"/>
        <v>568.57864376269049</v>
      </c>
      <c r="AB19">
        <f t="shared" ca="1" si="1"/>
        <v>10</v>
      </c>
      <c r="AC19">
        <f t="shared" si="2"/>
        <v>629.28932188134524</v>
      </c>
      <c r="AD19">
        <f t="shared" si="3"/>
        <v>-70.710678118654741</v>
      </c>
      <c r="AE19">
        <f t="shared" si="4"/>
        <v>-0.70710678118654746</v>
      </c>
      <c r="AF19">
        <f t="shared" si="5"/>
        <v>225</v>
      </c>
      <c r="AI19" s="2">
        <v>0.58333333333333337</v>
      </c>
      <c r="AJ19" s="4">
        <v>643.30257930236519</v>
      </c>
      <c r="AK19" s="4">
        <v>754.76583610023272</v>
      </c>
      <c r="AL19" s="4">
        <v>846.31318462144668</v>
      </c>
      <c r="AM19" s="4"/>
      <c r="AP19" s="2">
        <v>0.58333333333333337</v>
      </c>
      <c r="AQ19" s="4">
        <v>93.085632150533499</v>
      </c>
      <c r="AR19" s="4">
        <v>86.312655319826462</v>
      </c>
      <c r="AS19" s="4">
        <v>87.029888752966258</v>
      </c>
      <c r="AT19" s="4"/>
      <c r="AW19" s="2">
        <v>0.58333333333333337</v>
      </c>
      <c r="AX19" s="4">
        <v>4.8443679265889896</v>
      </c>
      <c r="AY19" s="4">
        <v>0.92335890477553229</v>
      </c>
      <c r="AZ19" s="4">
        <v>4.2102047674749752</v>
      </c>
      <c r="BA19" s="4"/>
    </row>
    <row r="20" spans="27:53" x14ac:dyDescent="0.25">
      <c r="AA20">
        <f t="shared" ca="1" si="0"/>
        <v>521.79491924311242</v>
      </c>
      <c r="AB20">
        <f t="shared" ca="1" si="1"/>
        <v>-5</v>
      </c>
      <c r="AC20">
        <f t="shared" si="2"/>
        <v>613.39745962155621</v>
      </c>
      <c r="AD20">
        <f t="shared" si="3"/>
        <v>-86.602540378443834</v>
      </c>
      <c r="AE20">
        <f t="shared" si="4"/>
        <v>-0.86602540378443837</v>
      </c>
      <c r="AF20">
        <f t="shared" si="5"/>
        <v>240</v>
      </c>
      <c r="AI20" s="2">
        <v>0.625</v>
      </c>
      <c r="AJ20" s="4">
        <v>682.60243411628846</v>
      </c>
      <c r="AK20" s="4">
        <v>788.44546754766714</v>
      </c>
      <c r="AL20" s="4">
        <v>924.22761663287145</v>
      </c>
      <c r="AM20" s="4"/>
      <c r="AP20" s="2">
        <v>0.625</v>
      </c>
      <c r="AQ20" s="4">
        <v>92.510649334767024</v>
      </c>
      <c r="AR20" s="4">
        <v>86.616290457177186</v>
      </c>
      <c r="AS20" s="4">
        <v>87.743897298824749</v>
      </c>
      <c r="AT20" s="4"/>
      <c r="AW20" s="2">
        <v>0.625</v>
      </c>
      <c r="AX20" s="4">
        <v>4.8673172431203895</v>
      </c>
      <c r="AY20" s="4">
        <v>1.6988626572207584</v>
      </c>
      <c r="AZ20" s="4">
        <v>5.1451948701245112</v>
      </c>
      <c r="BA20" s="4"/>
    </row>
    <row r="21" spans="27:53" x14ac:dyDescent="0.25">
      <c r="AA21">
        <f t="shared" ca="1" si="0"/>
        <v>505.81483474218635</v>
      </c>
      <c r="AB21">
        <f t="shared" ca="1" si="1"/>
        <v>-1</v>
      </c>
      <c r="AC21">
        <f t="shared" si="2"/>
        <v>603.40741737109317</v>
      </c>
      <c r="AD21">
        <f t="shared" si="3"/>
        <v>-96.592582628906825</v>
      </c>
      <c r="AE21">
        <f t="shared" si="4"/>
        <v>-0.96592582628906831</v>
      </c>
      <c r="AF21">
        <f t="shared" si="5"/>
        <v>255</v>
      </c>
      <c r="AI21" s="2">
        <v>0.66666666666666663</v>
      </c>
      <c r="AJ21" s="4">
        <v>740.84577952723055</v>
      </c>
      <c r="AK21" s="4">
        <v>798.78703146698001</v>
      </c>
      <c r="AL21" s="4">
        <v>889.91843302139239</v>
      </c>
      <c r="AM21" s="4"/>
      <c r="AP21" s="2">
        <v>0.66666666666666663</v>
      </c>
      <c r="AQ21" s="4">
        <v>92.496241317392176</v>
      </c>
      <c r="AR21" s="4">
        <v>87.542413048903214</v>
      </c>
      <c r="AS21" s="4">
        <v>86.74750950431816</v>
      </c>
      <c r="AT21" s="4"/>
      <c r="AW21" s="2">
        <v>0.66666666666666663</v>
      </c>
      <c r="AX21" s="4">
        <v>4.8521825333054096</v>
      </c>
      <c r="AY21" s="4">
        <v>1.2581825904047865</v>
      </c>
      <c r="AZ21" s="4">
        <v>4.3632186006153981</v>
      </c>
      <c r="BA21" s="4"/>
    </row>
    <row r="22" spans="27:53" x14ac:dyDescent="0.25">
      <c r="AA22">
        <f t="shared" ca="1" si="0"/>
        <v>508</v>
      </c>
      <c r="AB22">
        <f t="shared" ca="1" si="1"/>
        <v>8</v>
      </c>
      <c r="AC22">
        <f t="shared" si="2"/>
        <v>600</v>
      </c>
      <c r="AD22">
        <f t="shared" si="3"/>
        <v>-100</v>
      </c>
      <c r="AE22">
        <f t="shared" si="4"/>
        <v>-1</v>
      </c>
      <c r="AF22">
        <f t="shared" si="5"/>
        <v>270</v>
      </c>
      <c r="AI22" s="2">
        <v>0.70833333333333337</v>
      </c>
      <c r="AJ22" s="4">
        <v>717.40957172498281</v>
      </c>
      <c r="AK22" s="4">
        <v>853.98242311770366</v>
      </c>
      <c r="AL22" s="4">
        <v>908.29984459845161</v>
      </c>
      <c r="AM22" s="4"/>
      <c r="AP22" s="2">
        <v>0.70833333333333337</v>
      </c>
      <c r="AQ22" s="4">
        <v>92.662311203912992</v>
      </c>
      <c r="AR22" s="4">
        <v>87.552496477745976</v>
      </c>
      <c r="AS22" s="4">
        <v>86.946285739280881</v>
      </c>
      <c r="AT22" s="4"/>
      <c r="AW22" s="2">
        <v>0.70833333333333337</v>
      </c>
      <c r="AX22" s="4">
        <v>5.8095134317073498</v>
      </c>
      <c r="AY22" s="4">
        <v>0.98507007660499424</v>
      </c>
      <c r="AZ22" s="4">
        <v>5.2915673867051751</v>
      </c>
      <c r="BA22" s="4"/>
    </row>
    <row r="23" spans="27:53" x14ac:dyDescent="0.25">
      <c r="AA23">
        <f t="shared" ca="1" si="0"/>
        <v>516.81483474218635</v>
      </c>
      <c r="AB23">
        <f t="shared" ca="1" si="1"/>
        <v>10</v>
      </c>
      <c r="AC23">
        <f t="shared" si="2"/>
        <v>603.40741737109317</v>
      </c>
      <c r="AD23">
        <f t="shared" si="3"/>
        <v>-96.59258262890684</v>
      </c>
      <c r="AE23">
        <f t="shared" si="4"/>
        <v>-0.96592582628906842</v>
      </c>
      <c r="AF23">
        <f t="shared" si="5"/>
        <v>285</v>
      </c>
      <c r="AI23" s="2">
        <v>0.75</v>
      </c>
      <c r="AJ23" s="4">
        <v>696.751814477724</v>
      </c>
      <c r="AK23" s="4">
        <v>828.57723054529458</v>
      </c>
      <c r="AL23" s="4">
        <v>954.12276558140127</v>
      </c>
      <c r="AM23" s="4"/>
      <c r="AP23" s="2">
        <v>0.75</v>
      </c>
      <c r="AQ23" s="4">
        <v>91.894856448154798</v>
      </c>
      <c r="AR23" s="4">
        <v>88.165488941104527</v>
      </c>
      <c r="AS23" s="4">
        <v>86.769959286268019</v>
      </c>
      <c r="AT23" s="4"/>
      <c r="AW23" s="2">
        <v>0.75</v>
      </c>
      <c r="AX23" s="4">
        <v>5.3347099566538541</v>
      </c>
      <c r="AY23" s="4">
        <v>1.3619837750523682</v>
      </c>
      <c r="AZ23" s="4">
        <v>4.8469276561040688</v>
      </c>
      <c r="BA23" s="4"/>
    </row>
    <row r="24" spans="27:53" x14ac:dyDescent="0.25">
      <c r="AA24">
        <f t="shared" ca="1" si="0"/>
        <v>534.79491924311219</v>
      </c>
      <c r="AB24">
        <f t="shared" ca="1" si="1"/>
        <v>8</v>
      </c>
      <c r="AC24">
        <f t="shared" si="2"/>
        <v>613.3974596215561</v>
      </c>
      <c r="AD24">
        <f t="shared" si="3"/>
        <v>-86.602540378443862</v>
      </c>
      <c r="AE24">
        <f t="shared" si="4"/>
        <v>-0.8660254037844386</v>
      </c>
      <c r="AF24">
        <f t="shared" si="5"/>
        <v>300</v>
      </c>
      <c r="AI24" s="2">
        <v>0.79166666666666663</v>
      </c>
      <c r="AJ24" s="4">
        <v>679.01388603790986</v>
      </c>
      <c r="AK24" s="4">
        <v>795.84158014194679</v>
      </c>
      <c r="AL24" s="4">
        <v>881.2995260608551</v>
      </c>
      <c r="AM24" s="4"/>
      <c r="AP24" s="2">
        <v>0.79166666666666663</v>
      </c>
      <c r="AQ24" s="4">
        <v>91.586698268944758</v>
      </c>
      <c r="AR24" s="4">
        <v>87.917593774753584</v>
      </c>
      <c r="AS24" s="4">
        <v>87.720487106818837</v>
      </c>
      <c r="AT24" s="4"/>
      <c r="AW24" s="2">
        <v>0.79166666666666663</v>
      </c>
      <c r="AX24" s="4">
        <v>5.0136754906884908</v>
      </c>
      <c r="AY24" s="4">
        <v>1.257845693516296</v>
      </c>
      <c r="AZ24" s="4">
        <v>4.4678905256281833</v>
      </c>
      <c r="BA24" s="4"/>
    </row>
    <row r="25" spans="27:53" x14ac:dyDescent="0.25">
      <c r="AA25">
        <f t="shared" ca="1" si="0"/>
        <v>560.57864376269049</v>
      </c>
      <c r="AB25">
        <f t="shared" ca="1" si="1"/>
        <v>2</v>
      </c>
      <c r="AC25">
        <f t="shared" si="2"/>
        <v>629.28932188134524</v>
      </c>
      <c r="AD25">
        <f t="shared" si="3"/>
        <v>-70.710678118654769</v>
      </c>
      <c r="AE25">
        <f t="shared" si="4"/>
        <v>-0.70710678118654768</v>
      </c>
      <c r="AF25">
        <f t="shared" si="5"/>
        <v>315</v>
      </c>
      <c r="AI25" s="2">
        <v>0.83333333333333337</v>
      </c>
      <c r="AJ25" s="4">
        <v>652.15483911147385</v>
      </c>
      <c r="AK25" s="4">
        <v>780.74477756262831</v>
      </c>
      <c r="AL25" s="4">
        <v>872.79684480968899</v>
      </c>
      <c r="AM25" s="4"/>
      <c r="AP25" s="2">
        <v>0.83333333333333337</v>
      </c>
      <c r="AQ25" s="4">
        <v>91.379132976078807</v>
      </c>
      <c r="AR25" s="4">
        <v>87.117301601035095</v>
      </c>
      <c r="AS25" s="4">
        <v>88.569131835075197</v>
      </c>
      <c r="AT25" s="4"/>
      <c r="AW25" s="2">
        <v>0.83333333333333337</v>
      </c>
      <c r="AX25" s="4">
        <v>4.8798089252793071</v>
      </c>
      <c r="AY25" s="4">
        <v>0.44807690967143832</v>
      </c>
      <c r="AZ25" s="4">
        <v>4.6501551761858551</v>
      </c>
      <c r="BA25" s="4"/>
    </row>
    <row r="26" spans="27:53" x14ac:dyDescent="0.25">
      <c r="AA26">
        <f t="shared" ca="1" si="0"/>
        <v>607</v>
      </c>
      <c r="AB26">
        <f t="shared" ca="1" si="1"/>
        <v>7</v>
      </c>
      <c r="AC26">
        <f t="shared" si="2"/>
        <v>650</v>
      </c>
      <c r="AD26">
        <f t="shared" si="3"/>
        <v>-50.000000000000043</v>
      </c>
      <c r="AE26">
        <f t="shared" si="4"/>
        <v>-0.50000000000000044</v>
      </c>
      <c r="AF26">
        <f t="shared" si="5"/>
        <v>330</v>
      </c>
      <c r="AI26" s="2">
        <v>0.875</v>
      </c>
      <c r="AJ26" s="4">
        <v>614.82745399672069</v>
      </c>
      <c r="AK26" s="4">
        <v>733.7417618103832</v>
      </c>
      <c r="AL26" s="4">
        <v>840.09279163599945</v>
      </c>
      <c r="AM26" s="4"/>
      <c r="AP26" s="2">
        <v>0.875</v>
      </c>
      <c r="AQ26" s="4">
        <v>90.537167752842024</v>
      </c>
      <c r="AR26" s="4">
        <v>87.748281405843017</v>
      </c>
      <c r="AS26" s="4">
        <v>89.241434834275466</v>
      </c>
      <c r="AT26" s="4"/>
      <c r="AW26" s="2">
        <v>0.875</v>
      </c>
      <c r="AX26" s="4">
        <v>5.3162632377617607</v>
      </c>
      <c r="AY26" s="4">
        <v>0.63016838798918096</v>
      </c>
      <c r="AZ26" s="4">
        <v>4.3384265821315324</v>
      </c>
      <c r="BA26" s="4"/>
    </row>
    <row r="27" spans="27:53" x14ac:dyDescent="0.25">
      <c r="AA27">
        <f t="shared" ca="1" si="0"/>
        <v>643.23619097949586</v>
      </c>
      <c r="AB27">
        <f t="shared" ca="1" si="1"/>
        <v>-5</v>
      </c>
      <c r="AC27">
        <f t="shared" si="2"/>
        <v>674.11809548974793</v>
      </c>
      <c r="AD27">
        <f t="shared" si="3"/>
        <v>-25.881904510252067</v>
      </c>
      <c r="AE27">
        <f t="shared" si="4"/>
        <v>-0.25881904510252068</v>
      </c>
      <c r="AF27">
        <f t="shared" si="5"/>
        <v>345</v>
      </c>
      <c r="AI27" s="2">
        <v>0.91666666666666663</v>
      </c>
      <c r="AJ27" s="4">
        <v>555.77411819127701</v>
      </c>
      <c r="AK27" s="4">
        <v>694.6222330207878</v>
      </c>
      <c r="AL27" s="4">
        <v>760.65802797125559</v>
      </c>
      <c r="AM27" s="4"/>
      <c r="AP27" s="2">
        <v>0.91666666666666663</v>
      </c>
      <c r="AQ27" s="4">
        <v>90.333091200031191</v>
      </c>
      <c r="AR27" s="4">
        <v>87.048232752796181</v>
      </c>
      <c r="AS27" s="4">
        <v>88.435325302681846</v>
      </c>
      <c r="AT27" s="4"/>
      <c r="AW27" s="2">
        <v>0.91666666666666663</v>
      </c>
      <c r="AX27" s="4">
        <v>4.8995437735037326</v>
      </c>
      <c r="AY27" s="4">
        <v>1.3921282535216091</v>
      </c>
      <c r="AZ27" s="4">
        <v>4.606550171002266</v>
      </c>
      <c r="BA27" s="4"/>
    </row>
    <row r="28" spans="27:53" x14ac:dyDescent="0.25">
      <c r="AA28">
        <f t="shared" ca="1" si="0"/>
        <v>695</v>
      </c>
      <c r="AB28">
        <f t="shared" ca="1" si="1"/>
        <v>-5</v>
      </c>
      <c r="AC28">
        <f t="shared" si="2"/>
        <v>700</v>
      </c>
      <c r="AD28">
        <f t="shared" si="3"/>
        <v>-2.45029690981724E-14</v>
      </c>
      <c r="AE28">
        <f t="shared" si="4"/>
        <v>-2.45029690981724E-16</v>
      </c>
      <c r="AF28">
        <f t="shared" si="5"/>
        <v>360</v>
      </c>
      <c r="AI28" s="2">
        <v>0.95833333333333337</v>
      </c>
      <c r="AJ28" s="4">
        <v>521.94360331891676</v>
      </c>
      <c r="AK28" s="4">
        <v>611.75772708515842</v>
      </c>
      <c r="AL28" s="4">
        <v>703.16807399858169</v>
      </c>
      <c r="AM28" s="4"/>
      <c r="AP28" s="2">
        <v>0.95833333333333337</v>
      </c>
      <c r="AQ28" s="4">
        <v>89.866623985945893</v>
      </c>
      <c r="AR28" s="4">
        <v>86.654453657795514</v>
      </c>
      <c r="AS28" s="4">
        <v>87.57961640187898</v>
      </c>
      <c r="AT28" s="4"/>
      <c r="AW28" s="2">
        <v>0.95833333333333337</v>
      </c>
      <c r="AX28" s="4">
        <v>4.972486058426802</v>
      </c>
      <c r="AY28" s="4">
        <v>0.58649571759236852</v>
      </c>
      <c r="AZ28" s="4">
        <v>5.5903647685248563</v>
      </c>
      <c r="BA28" s="4"/>
    </row>
    <row r="29" spans="27:53" x14ac:dyDescent="0.25">
      <c r="AA29">
        <f t="shared" ca="1" si="0"/>
        <v>747.76380902050414</v>
      </c>
      <c r="AB29">
        <f t="shared" ca="1" si="1"/>
        <v>-4</v>
      </c>
      <c r="AC29">
        <f t="shared" si="2"/>
        <v>725.88190451025207</v>
      </c>
      <c r="AD29">
        <f t="shared" si="3"/>
        <v>25.881904510252024</v>
      </c>
      <c r="AE29">
        <f t="shared" si="4"/>
        <v>0.25881904510252024</v>
      </c>
      <c r="AF29">
        <f t="shared" si="5"/>
        <v>375</v>
      </c>
      <c r="AH29" s="1">
        <v>43467</v>
      </c>
      <c r="AI29" s="2">
        <v>0</v>
      </c>
      <c r="AJ29" s="4">
        <v>458.90575398125117</v>
      </c>
      <c r="AK29" s="4">
        <v>573.66052430081845</v>
      </c>
      <c r="AL29" s="4">
        <v>668.25275770869268</v>
      </c>
      <c r="AM29" s="4"/>
      <c r="AO29" s="1">
        <v>43467</v>
      </c>
      <c r="AP29" s="2">
        <v>0</v>
      </c>
      <c r="AQ29" s="4">
        <v>89.388583562480775</v>
      </c>
      <c r="AR29" s="4">
        <v>87.299950643872947</v>
      </c>
      <c r="AS29" s="4">
        <v>87.649808882812394</v>
      </c>
      <c r="AT29" s="4"/>
      <c r="AV29" s="1">
        <v>43467</v>
      </c>
      <c r="AW29" s="2">
        <v>0</v>
      </c>
      <c r="AX29" s="4">
        <v>5.5468396135542761</v>
      </c>
      <c r="AY29" s="4">
        <v>0.60036569161017728</v>
      </c>
      <c r="AZ29" s="4">
        <v>5.0804538263614232</v>
      </c>
      <c r="BA29" s="4"/>
    </row>
    <row r="30" spans="27:53" x14ac:dyDescent="0.25">
      <c r="AA30">
        <f t="shared" ca="1" si="0"/>
        <v>793</v>
      </c>
      <c r="AB30">
        <f t="shared" ca="1" si="1"/>
        <v>-7</v>
      </c>
      <c r="AC30">
        <f t="shared" si="2"/>
        <v>750</v>
      </c>
      <c r="AD30">
        <f t="shared" si="3"/>
        <v>50</v>
      </c>
      <c r="AE30">
        <f t="shared" si="4"/>
        <v>0.5</v>
      </c>
      <c r="AF30">
        <f t="shared" si="5"/>
        <v>390</v>
      </c>
      <c r="AI30" s="2">
        <v>4.1666666666666664E-2</v>
      </c>
      <c r="AJ30" s="4">
        <v>406.85767445675464</v>
      </c>
      <c r="AK30" s="4">
        <v>495.70149752662803</v>
      </c>
      <c r="AL30" s="4">
        <v>652.7266283730213</v>
      </c>
      <c r="AM30" s="4"/>
      <c r="AP30" s="2">
        <v>4.1666666666666664E-2</v>
      </c>
      <c r="AQ30" s="4">
        <v>88.960116221923016</v>
      </c>
      <c r="AR30" s="4">
        <v>87.308466460258316</v>
      </c>
      <c r="AS30" s="4">
        <v>87.888282825967295</v>
      </c>
      <c r="AT30" s="4"/>
      <c r="AW30" s="2">
        <v>4.1666666666666664E-2</v>
      </c>
      <c r="AX30" s="4">
        <v>4.5718007480119933</v>
      </c>
      <c r="AY30" s="4">
        <v>0.63837645490436223</v>
      </c>
      <c r="AZ30" s="4">
        <v>4.9165691041364727</v>
      </c>
      <c r="BA30" s="4"/>
    </row>
    <row r="31" spans="27:53" x14ac:dyDescent="0.25">
      <c r="AA31">
        <f t="shared" ca="1" si="0"/>
        <v>831.42135623730951</v>
      </c>
      <c r="AB31">
        <f t="shared" ca="1" si="1"/>
        <v>-10</v>
      </c>
      <c r="AC31">
        <f t="shared" si="2"/>
        <v>770.71067811865476</v>
      </c>
      <c r="AD31">
        <f t="shared" si="3"/>
        <v>70.710678118654741</v>
      </c>
      <c r="AE31">
        <f t="shared" si="4"/>
        <v>0.70710678118654735</v>
      </c>
      <c r="AF31">
        <f t="shared" si="5"/>
        <v>405</v>
      </c>
      <c r="AI31" s="2">
        <v>8.3333333333333329E-2</v>
      </c>
      <c r="AJ31" s="4">
        <v>384.99331308705507</v>
      </c>
      <c r="AK31" s="4">
        <v>521.3156997477912</v>
      </c>
      <c r="AL31" s="4">
        <v>596.35627171837552</v>
      </c>
      <c r="AM31" s="4"/>
      <c r="AP31" s="2">
        <v>8.3333333333333329E-2</v>
      </c>
      <c r="AQ31" s="4">
        <v>88.908352695580973</v>
      </c>
      <c r="AR31" s="4">
        <v>87.369131731264375</v>
      </c>
      <c r="AS31" s="4">
        <v>88.613655180636883</v>
      </c>
      <c r="AT31" s="4"/>
      <c r="AW31" s="2">
        <v>8.3333333333333329E-2</v>
      </c>
      <c r="AX31" s="4">
        <v>4.4073468441778312</v>
      </c>
      <c r="AY31" s="4">
        <v>1.3665992849284547</v>
      </c>
      <c r="AZ31" s="4">
        <v>5.1583963500049279</v>
      </c>
      <c r="BA31" s="4"/>
    </row>
    <row r="32" spans="27:53" x14ac:dyDescent="0.25">
      <c r="AA32">
        <f t="shared" ca="1" si="0"/>
        <v>863.20508075688781</v>
      </c>
      <c r="AB32">
        <f t="shared" ca="1" si="1"/>
        <v>-10</v>
      </c>
      <c r="AC32">
        <f t="shared" si="2"/>
        <v>786.6025403784439</v>
      </c>
      <c r="AD32">
        <f t="shared" si="3"/>
        <v>86.602540378443877</v>
      </c>
      <c r="AE32">
        <f t="shared" si="4"/>
        <v>0.86602540378443882</v>
      </c>
      <c r="AF32">
        <f t="shared" si="5"/>
        <v>420</v>
      </c>
      <c r="AI32" s="2">
        <v>0.125</v>
      </c>
      <c r="AJ32" s="4">
        <v>386.40952701730242</v>
      </c>
      <c r="AK32" s="4">
        <v>433.14555939855597</v>
      </c>
      <c r="AL32" s="4">
        <v>559.64221657062876</v>
      </c>
      <c r="AM32" s="4"/>
      <c r="AP32" s="2">
        <v>0.125</v>
      </c>
      <c r="AQ32" s="4">
        <v>89.377805402136602</v>
      </c>
      <c r="AR32" s="4">
        <v>86.435268481244961</v>
      </c>
      <c r="AS32" s="4">
        <v>88.789218546783829</v>
      </c>
      <c r="AT32" s="4"/>
      <c r="AW32" s="2">
        <v>0.125</v>
      </c>
      <c r="AX32" s="4">
        <v>5.1473141535141194</v>
      </c>
      <c r="AY32" s="4">
        <v>0.62482507972787749</v>
      </c>
      <c r="AZ32" s="4">
        <v>4.5044920110063371</v>
      </c>
      <c r="BA32" s="4"/>
    </row>
    <row r="33" spans="27:53" x14ac:dyDescent="0.25">
      <c r="AA33">
        <f t="shared" ca="1" si="0"/>
        <v>887.18516525781365</v>
      </c>
      <c r="AB33">
        <f t="shared" ca="1" si="1"/>
        <v>-6</v>
      </c>
      <c r="AC33">
        <f t="shared" si="2"/>
        <v>796.59258262890683</v>
      </c>
      <c r="AD33">
        <f t="shared" si="3"/>
        <v>96.592582628906825</v>
      </c>
      <c r="AE33">
        <f t="shared" si="4"/>
        <v>0.96592582628906831</v>
      </c>
      <c r="AF33">
        <f t="shared" si="5"/>
        <v>435</v>
      </c>
      <c r="AI33" s="2">
        <v>0.16666666666666666</v>
      </c>
      <c r="AJ33" s="4">
        <v>332.9406517936917</v>
      </c>
      <c r="AK33" s="4">
        <v>431.68897273408976</v>
      </c>
      <c r="AL33" s="4">
        <v>523.72801040686829</v>
      </c>
      <c r="AM33" s="4"/>
      <c r="AP33" s="2">
        <v>0.16666666666666666</v>
      </c>
      <c r="AQ33" s="4">
        <v>89.331328513514919</v>
      </c>
      <c r="AR33" s="4">
        <v>86.488964932545912</v>
      </c>
      <c r="AS33" s="4">
        <v>89.589646968984994</v>
      </c>
      <c r="AT33" s="4"/>
      <c r="AW33" s="2">
        <v>0.16666666666666666</v>
      </c>
      <c r="AX33" s="4">
        <v>4.6338723489828233</v>
      </c>
      <c r="AY33" s="4">
        <v>1.2181733651630802</v>
      </c>
      <c r="AZ33" s="4">
        <v>4.9635809786586425</v>
      </c>
      <c r="BA33" s="4"/>
    </row>
    <row r="34" spans="27:53" x14ac:dyDescent="0.25">
      <c r="AA34">
        <f t="shared" ca="1" si="0"/>
        <v>890</v>
      </c>
      <c r="AB34">
        <f t="shared" ca="1" si="1"/>
        <v>-10</v>
      </c>
      <c r="AC34">
        <f t="shared" si="2"/>
        <v>800</v>
      </c>
      <c r="AD34">
        <f t="shared" si="3"/>
        <v>100</v>
      </c>
      <c r="AE34">
        <f t="shared" si="4"/>
        <v>1</v>
      </c>
      <c r="AF34">
        <f t="shared" si="5"/>
        <v>450</v>
      </c>
      <c r="AI34" s="2">
        <v>0.20833333333333334</v>
      </c>
      <c r="AJ34" s="4">
        <v>312.95514817942109</v>
      </c>
      <c r="AK34" s="4">
        <v>447.20048474608859</v>
      </c>
      <c r="AL34" s="4">
        <v>521.1342596854879</v>
      </c>
      <c r="AM34" s="4"/>
      <c r="AP34" s="2">
        <v>0.20833333333333334</v>
      </c>
      <c r="AQ34" s="4">
        <v>89.182897674959634</v>
      </c>
      <c r="AR34" s="4">
        <v>86.237318863499155</v>
      </c>
      <c r="AS34" s="4">
        <v>89.889387537024589</v>
      </c>
      <c r="AT34" s="4"/>
      <c r="AW34" s="2">
        <v>0.20833333333333334</v>
      </c>
      <c r="AX34" s="4">
        <v>4.3299784667367947</v>
      </c>
      <c r="AY34" s="4">
        <v>1.0964868687832419</v>
      </c>
      <c r="AZ34" s="4">
        <v>5.5206580817941369</v>
      </c>
      <c r="BA34" s="4"/>
    </row>
    <row r="35" spans="27:53" x14ac:dyDescent="0.25">
      <c r="AA35">
        <f t="shared" ca="1" si="0"/>
        <v>885.18516525781365</v>
      </c>
      <c r="AB35">
        <f t="shared" ca="1" si="1"/>
        <v>-8</v>
      </c>
      <c r="AC35">
        <f t="shared" si="2"/>
        <v>796.59258262890683</v>
      </c>
      <c r="AD35">
        <f t="shared" si="3"/>
        <v>96.59258262890684</v>
      </c>
      <c r="AE35">
        <f t="shared" si="4"/>
        <v>0.96592582628906842</v>
      </c>
      <c r="AF35">
        <f t="shared" si="5"/>
        <v>465</v>
      </c>
      <c r="AI35" s="2">
        <v>0.25</v>
      </c>
      <c r="AJ35" s="4">
        <v>343.34646882056035</v>
      </c>
      <c r="AK35" s="4">
        <v>426.48525928672694</v>
      </c>
      <c r="AL35" s="4">
        <v>558.21458826898902</v>
      </c>
      <c r="AM35" s="4"/>
      <c r="AP35" s="2">
        <v>0.25</v>
      </c>
      <c r="AQ35" s="4">
        <v>88.983842706635997</v>
      </c>
      <c r="AR35" s="4">
        <v>85.545754122083579</v>
      </c>
      <c r="AS35" s="4">
        <v>89.079091201419843</v>
      </c>
      <c r="AT35" s="4"/>
      <c r="AW35" s="2">
        <v>0.25</v>
      </c>
      <c r="AX35" s="4">
        <v>3.4545786125863955</v>
      </c>
      <c r="AY35" s="4">
        <v>1.0393026724797632</v>
      </c>
      <c r="AZ35" s="4">
        <v>4.8674384005782665</v>
      </c>
      <c r="BA35" s="4"/>
    </row>
    <row r="36" spans="27:53" x14ac:dyDescent="0.25">
      <c r="AA36">
        <f t="shared" ca="1" si="0"/>
        <v>877.20508075688781</v>
      </c>
      <c r="AB36">
        <f t="shared" ca="1" si="1"/>
        <v>4</v>
      </c>
      <c r="AC36">
        <f t="shared" si="2"/>
        <v>786.6025403784439</v>
      </c>
      <c r="AD36">
        <f t="shared" si="3"/>
        <v>86.602540378443919</v>
      </c>
      <c r="AE36">
        <f t="shared" si="4"/>
        <v>0.86602540378443915</v>
      </c>
      <c r="AF36">
        <f t="shared" si="5"/>
        <v>480</v>
      </c>
      <c r="AI36" s="2">
        <v>0.29166666666666669</v>
      </c>
      <c r="AJ36" s="4">
        <v>381.96701279556646</v>
      </c>
      <c r="AK36" s="4">
        <v>443.60908468561269</v>
      </c>
      <c r="AL36" s="4">
        <v>554.18149082881473</v>
      </c>
      <c r="AM36" s="4"/>
      <c r="AP36" s="2">
        <v>0.29166666666666669</v>
      </c>
      <c r="AQ36" s="4">
        <v>88.91641306498137</v>
      </c>
      <c r="AR36" s="4">
        <v>85.722087420068988</v>
      </c>
      <c r="AS36" s="4">
        <v>89.194472635888403</v>
      </c>
      <c r="AT36" s="4"/>
      <c r="AW36" s="2">
        <v>0.29166666666666669</v>
      </c>
      <c r="AX36" s="4">
        <v>4.3425940448797533</v>
      </c>
      <c r="AY36" s="4">
        <v>1.432090830212579</v>
      </c>
      <c r="AZ36" s="4">
        <v>5.5939131762765513</v>
      </c>
      <c r="BA36" s="4"/>
    </row>
    <row r="37" spans="27:53" x14ac:dyDescent="0.25">
      <c r="AA37">
        <f t="shared" ca="1" si="0"/>
        <v>845.42135623730951</v>
      </c>
      <c r="AB37">
        <f t="shared" ca="1" si="1"/>
        <v>4</v>
      </c>
      <c r="AC37">
        <f t="shared" si="2"/>
        <v>770.71067811865476</v>
      </c>
      <c r="AD37">
        <f t="shared" si="3"/>
        <v>70.710678118654712</v>
      </c>
      <c r="AE37">
        <f t="shared" si="4"/>
        <v>0.70710678118654713</v>
      </c>
      <c r="AF37">
        <f t="shared" si="5"/>
        <v>495</v>
      </c>
      <c r="AI37" s="2">
        <v>0.33333333333333331</v>
      </c>
      <c r="AJ37" s="4">
        <v>369.55965135526651</v>
      </c>
      <c r="AK37" s="4">
        <v>471.56019754358624</v>
      </c>
      <c r="AL37" s="4">
        <v>627.31257617530503</v>
      </c>
      <c r="AM37" s="4"/>
      <c r="AP37" s="2">
        <v>0.33333333333333331</v>
      </c>
      <c r="AQ37" s="4">
        <v>88.959644102687363</v>
      </c>
      <c r="AR37" s="4">
        <v>86.370126223721357</v>
      </c>
      <c r="AS37" s="4">
        <v>89.676282350653779</v>
      </c>
      <c r="AT37" s="4"/>
      <c r="AW37" s="2">
        <v>0.33333333333333331</v>
      </c>
      <c r="AX37" s="4">
        <v>4.5144160567472031</v>
      </c>
      <c r="AY37" s="4">
        <v>0.84659225789235071</v>
      </c>
      <c r="AZ37" s="4">
        <v>5.5933598202027257</v>
      </c>
      <c r="BA37" s="4"/>
    </row>
    <row r="38" spans="27:53" x14ac:dyDescent="0.25">
      <c r="AA38">
        <f t="shared" ca="1" si="0"/>
        <v>805</v>
      </c>
      <c r="AB38">
        <f t="shared" ca="1" si="1"/>
        <v>5</v>
      </c>
      <c r="AC38">
        <f t="shared" si="2"/>
        <v>750</v>
      </c>
      <c r="AD38">
        <f t="shared" si="3"/>
        <v>49.999999999999979</v>
      </c>
      <c r="AE38">
        <f t="shared" si="4"/>
        <v>0.49999999999999978</v>
      </c>
      <c r="AF38">
        <f t="shared" si="5"/>
        <v>510</v>
      </c>
      <c r="AI38" s="2">
        <v>0.375</v>
      </c>
      <c r="AJ38" s="4">
        <v>437.99199495227708</v>
      </c>
      <c r="AK38" s="4">
        <v>498.38397694556988</v>
      </c>
      <c r="AL38" s="4">
        <v>633.8387735430166</v>
      </c>
      <c r="AM38" s="4"/>
      <c r="AP38" s="2">
        <v>0.375</v>
      </c>
      <c r="AQ38" s="4">
        <v>88.38246819146832</v>
      </c>
      <c r="AR38" s="4">
        <v>85.422684375883151</v>
      </c>
      <c r="AS38" s="4">
        <v>89.034909114540497</v>
      </c>
      <c r="AT38" s="4"/>
      <c r="AW38" s="2">
        <v>0.375</v>
      </c>
      <c r="AX38" s="4">
        <v>3.6572480581572639</v>
      </c>
      <c r="AY38" s="4">
        <v>1.8119275828700605</v>
      </c>
      <c r="AZ38" s="4">
        <v>5.1543183146862273</v>
      </c>
      <c r="BA38" s="4"/>
    </row>
    <row r="39" spans="27:53" x14ac:dyDescent="0.25">
      <c r="AA39">
        <f t="shared" ca="1" si="0"/>
        <v>755.76380902050414</v>
      </c>
      <c r="AB39">
        <f t="shared" ca="1" si="1"/>
        <v>4</v>
      </c>
      <c r="AC39">
        <f t="shared" si="2"/>
        <v>725.88190451025207</v>
      </c>
      <c r="AD39">
        <f t="shared" si="3"/>
        <v>25.881904510252081</v>
      </c>
      <c r="AE39">
        <f t="shared" si="4"/>
        <v>0.25881904510252079</v>
      </c>
      <c r="AF39">
        <f t="shared" si="5"/>
        <v>525</v>
      </c>
      <c r="AI39" s="2">
        <v>0.41666666666666669</v>
      </c>
      <c r="AJ39" s="4">
        <v>480.29307643014579</v>
      </c>
      <c r="AK39" s="4">
        <v>587.82083279560516</v>
      </c>
      <c r="AL39" s="4">
        <v>658.46000874240997</v>
      </c>
      <c r="AM39" s="4"/>
      <c r="AP39" s="2">
        <v>0.41666666666666669</v>
      </c>
      <c r="AQ39" s="4">
        <v>88.810906038825181</v>
      </c>
      <c r="AR39" s="4">
        <v>84.704563648724601</v>
      </c>
      <c r="AS39" s="4">
        <v>89.893822718102413</v>
      </c>
      <c r="AT39" s="4"/>
      <c r="AW39" s="2">
        <v>0.41666666666666669</v>
      </c>
      <c r="AX39" s="4">
        <v>4.6085674297581081</v>
      </c>
      <c r="AY39" s="4">
        <v>0.82918041244703344</v>
      </c>
      <c r="AZ39" s="4">
        <v>4.3653411617800923</v>
      </c>
      <c r="BA39" s="4"/>
    </row>
    <row r="40" spans="27:53" x14ac:dyDescent="0.25">
      <c r="AA40">
        <f t="shared" ca="1" si="0"/>
        <v>710</v>
      </c>
      <c r="AB40">
        <f t="shared" ca="1" si="1"/>
        <v>10</v>
      </c>
      <c r="AC40">
        <f t="shared" si="2"/>
        <v>700</v>
      </c>
      <c r="AD40">
        <f t="shared" si="3"/>
        <v>3.67544536472586E-14</v>
      </c>
      <c r="AE40">
        <f t="shared" si="4"/>
        <v>3.67544536472586E-16</v>
      </c>
      <c r="AF40">
        <f t="shared" si="5"/>
        <v>540</v>
      </c>
      <c r="AI40" s="2">
        <v>0.45833333333333331</v>
      </c>
      <c r="AJ40" s="4">
        <v>512.60202642736954</v>
      </c>
      <c r="AK40" s="4">
        <v>651.94407672387729</v>
      </c>
      <c r="AL40" s="4">
        <v>748.79950504404337</v>
      </c>
      <c r="AM40" s="4"/>
      <c r="AP40" s="2">
        <v>0.45833333333333331</v>
      </c>
      <c r="AQ40" s="4">
        <v>88.967017634223879</v>
      </c>
      <c r="AR40" s="4">
        <v>84.301809491850676</v>
      </c>
      <c r="AS40" s="4">
        <v>90.440483873692315</v>
      </c>
      <c r="AT40" s="4"/>
      <c r="AW40" s="2">
        <v>0.45833333333333331</v>
      </c>
      <c r="AX40" s="4">
        <v>4.8606215917436435</v>
      </c>
      <c r="AY40" s="4">
        <v>1.4345763335710089</v>
      </c>
      <c r="AZ40" s="4">
        <v>4.1906361658681881</v>
      </c>
      <c r="BA40" s="4"/>
    </row>
    <row r="41" spans="27:53" x14ac:dyDescent="0.25">
      <c r="AA41">
        <f t="shared" ca="1" si="0"/>
        <v>650.23619097949586</v>
      </c>
      <c r="AB41">
        <f t="shared" ca="1" si="1"/>
        <v>2</v>
      </c>
      <c r="AC41">
        <f t="shared" si="2"/>
        <v>674.11809548974793</v>
      </c>
      <c r="AD41">
        <f t="shared" si="3"/>
        <v>-25.881904510252014</v>
      </c>
      <c r="AE41">
        <f t="shared" si="4"/>
        <v>-0.25881904510252013</v>
      </c>
      <c r="AF41">
        <f t="shared" si="5"/>
        <v>555</v>
      </c>
      <c r="AI41" s="2">
        <v>0.5</v>
      </c>
      <c r="AJ41" s="4">
        <v>550.78949983836162</v>
      </c>
      <c r="AK41" s="4">
        <v>662.47866159889361</v>
      </c>
      <c r="AL41" s="4">
        <v>764.30354064124583</v>
      </c>
      <c r="AM41" s="4"/>
      <c r="AP41" s="2">
        <v>0.5</v>
      </c>
      <c r="AQ41" s="4">
        <v>88.04755673474213</v>
      </c>
      <c r="AR41" s="4">
        <v>84.122661272239526</v>
      </c>
      <c r="AS41" s="4">
        <v>90.711396663762073</v>
      </c>
      <c r="AT41" s="4"/>
      <c r="AW41" s="2">
        <v>0.5</v>
      </c>
      <c r="AX41" s="4">
        <v>5.7407634670308028</v>
      </c>
      <c r="AY41" s="4">
        <v>1.6992278115816148</v>
      </c>
      <c r="AZ41" s="4">
        <v>4.9721006224308244</v>
      </c>
      <c r="BA41" s="4"/>
    </row>
    <row r="42" spans="27:53" x14ac:dyDescent="0.25">
      <c r="AA42">
        <f t="shared" ca="1" si="0"/>
        <v>593.00000000000023</v>
      </c>
      <c r="AB42">
        <f t="shared" ca="1" si="1"/>
        <v>-7</v>
      </c>
      <c r="AC42">
        <f t="shared" si="2"/>
        <v>650.00000000000011</v>
      </c>
      <c r="AD42">
        <f t="shared" si="3"/>
        <v>-49.999999999999915</v>
      </c>
      <c r="AE42">
        <f t="shared" si="4"/>
        <v>-0.49999999999999917</v>
      </c>
      <c r="AF42">
        <f t="shared" si="5"/>
        <v>570</v>
      </c>
      <c r="AI42" s="2">
        <v>0.54166666666666663</v>
      </c>
      <c r="AJ42" s="4">
        <v>597.66617159497628</v>
      </c>
      <c r="AK42" s="4">
        <v>711.69335181036524</v>
      </c>
      <c r="AL42" s="4">
        <v>812.40902008603211</v>
      </c>
      <c r="AM42" s="4"/>
      <c r="AP42" s="2">
        <v>0.54166666666666663</v>
      </c>
      <c r="AQ42" s="4">
        <v>87.612214897477244</v>
      </c>
      <c r="AR42" s="4">
        <v>84.744793593021242</v>
      </c>
      <c r="AS42" s="4">
        <v>90.891053234690162</v>
      </c>
      <c r="AT42" s="4"/>
      <c r="AW42" s="2">
        <v>0.54166666666666663</v>
      </c>
      <c r="AX42" s="4">
        <v>5.354430171525161</v>
      </c>
      <c r="AY42" s="4">
        <v>2.3749282993980487</v>
      </c>
      <c r="AZ42" s="4">
        <v>5.6156449665317867</v>
      </c>
      <c r="BA42" s="4"/>
    </row>
    <row r="43" spans="27:53" x14ac:dyDescent="0.25">
      <c r="AA43">
        <f t="shared" ca="1" si="0"/>
        <v>568.57864376269049</v>
      </c>
      <c r="AB43">
        <f t="shared" ca="1" si="1"/>
        <v>10</v>
      </c>
      <c r="AC43">
        <f t="shared" si="2"/>
        <v>629.28932188134524</v>
      </c>
      <c r="AD43">
        <f t="shared" si="3"/>
        <v>-70.710678118654783</v>
      </c>
      <c r="AE43">
        <f t="shared" si="4"/>
        <v>-0.70710678118654791</v>
      </c>
      <c r="AF43">
        <f t="shared" si="5"/>
        <v>585</v>
      </c>
      <c r="AI43" s="2">
        <v>0.58333333333333337</v>
      </c>
      <c r="AJ43" s="4">
        <v>672.98010647195349</v>
      </c>
      <c r="AK43" s="4">
        <v>795.84183864759871</v>
      </c>
      <c r="AL43" s="4">
        <v>886.46049741520949</v>
      </c>
      <c r="AM43" s="4"/>
      <c r="AP43" s="2">
        <v>0.58333333333333337</v>
      </c>
      <c r="AQ43" s="4">
        <v>88.09477842241364</v>
      </c>
      <c r="AR43" s="4">
        <v>84.233848482691144</v>
      </c>
      <c r="AS43" s="4">
        <v>90.99305814572476</v>
      </c>
      <c r="AT43" s="4"/>
      <c r="AW43" s="2">
        <v>0.58333333333333337</v>
      </c>
      <c r="AX43" s="4">
        <v>4.984411834374523</v>
      </c>
      <c r="AY43" s="4">
        <v>3.0436906983958965</v>
      </c>
      <c r="AZ43" s="4">
        <v>4.9258765647341409</v>
      </c>
      <c r="BA43" s="4"/>
    </row>
    <row r="44" spans="27:53" x14ac:dyDescent="0.25">
      <c r="AA44">
        <f t="shared" ca="1" si="0"/>
        <v>520.79491924311219</v>
      </c>
      <c r="AB44">
        <f t="shared" ca="1" si="1"/>
        <v>-6</v>
      </c>
      <c r="AC44">
        <f t="shared" si="2"/>
        <v>613.3974596215561</v>
      </c>
      <c r="AD44">
        <f t="shared" si="3"/>
        <v>-86.602540378443877</v>
      </c>
      <c r="AE44">
        <f t="shared" si="4"/>
        <v>-0.86602540378443871</v>
      </c>
      <c r="AF44">
        <f t="shared" si="5"/>
        <v>600</v>
      </c>
      <c r="AI44" s="2">
        <v>0.625</v>
      </c>
      <c r="AJ44" s="4">
        <v>680.12401061424077</v>
      </c>
      <c r="AK44" s="4">
        <v>792.72738969303975</v>
      </c>
      <c r="AL44" s="4">
        <v>873.66543102555897</v>
      </c>
      <c r="AM44" s="4"/>
      <c r="AP44" s="2">
        <v>0.625</v>
      </c>
      <c r="AQ44" s="4">
        <v>87.709169821628308</v>
      </c>
      <c r="AR44" s="4">
        <v>83.687089545633555</v>
      </c>
      <c r="AS44" s="4">
        <v>91.826025221881082</v>
      </c>
      <c r="AT44" s="4"/>
      <c r="AW44" s="2">
        <v>0.625</v>
      </c>
      <c r="AX44" s="4">
        <v>5.6763247308866713</v>
      </c>
      <c r="AY44" s="4">
        <v>3.4780895901248772</v>
      </c>
      <c r="AZ44" s="4">
        <v>4.1483264247577303</v>
      </c>
      <c r="BA44" s="4"/>
    </row>
    <row r="45" spans="27:53" x14ac:dyDescent="0.25">
      <c r="AA45">
        <f t="shared" ca="1" si="0"/>
        <v>508.81483474218635</v>
      </c>
      <c r="AB45">
        <f t="shared" ca="1" si="1"/>
        <v>2</v>
      </c>
      <c r="AC45">
        <f t="shared" si="2"/>
        <v>603.40741737109317</v>
      </c>
      <c r="AD45">
        <f t="shared" si="3"/>
        <v>-96.592582628906825</v>
      </c>
      <c r="AE45">
        <f t="shared" si="4"/>
        <v>-0.9659258262890682</v>
      </c>
      <c r="AF45">
        <f t="shared" si="5"/>
        <v>615</v>
      </c>
      <c r="AI45" s="2">
        <v>0.66666666666666663</v>
      </c>
      <c r="AJ45" s="4">
        <v>689.51448620440328</v>
      </c>
      <c r="AK45" s="4">
        <v>844.4203394609691</v>
      </c>
      <c r="AL45" s="4">
        <v>899.43897100325523</v>
      </c>
      <c r="AM45" s="4"/>
      <c r="AP45" s="2">
        <v>0.66666666666666663</v>
      </c>
      <c r="AQ45" s="4">
        <v>88.329819933676404</v>
      </c>
      <c r="AR45" s="4">
        <v>84.423057152622135</v>
      </c>
      <c r="AS45" s="4">
        <v>91.555161586691781</v>
      </c>
      <c r="AT45" s="4"/>
      <c r="AW45" s="2">
        <v>0.66666666666666663</v>
      </c>
      <c r="AX45" s="4">
        <v>4.847603163764961</v>
      </c>
      <c r="AY45" s="4">
        <v>3.3106637655344771</v>
      </c>
      <c r="AZ45" s="4">
        <v>4.0272603725616509</v>
      </c>
      <c r="BA45" s="4"/>
    </row>
    <row r="46" spans="27:53" x14ac:dyDescent="0.25">
      <c r="AA46">
        <f t="shared" ca="1" si="0"/>
        <v>507</v>
      </c>
      <c r="AB46">
        <f t="shared" ca="1" si="1"/>
        <v>7</v>
      </c>
      <c r="AC46">
        <f t="shared" si="2"/>
        <v>600</v>
      </c>
      <c r="AD46">
        <f t="shared" si="3"/>
        <v>-100</v>
      </c>
      <c r="AE46">
        <f t="shared" si="4"/>
        <v>-1</v>
      </c>
      <c r="AF46">
        <f t="shared" si="5"/>
        <v>630</v>
      </c>
      <c r="AI46" s="2">
        <v>0.70833333333333337</v>
      </c>
      <c r="AJ46" s="4">
        <v>735.03553503520709</v>
      </c>
      <c r="AK46" s="4">
        <v>847.59719084816129</v>
      </c>
      <c r="AL46" s="4">
        <v>903.87070158935876</v>
      </c>
      <c r="AM46" s="4"/>
      <c r="AP46" s="2">
        <v>0.70833333333333337</v>
      </c>
      <c r="AQ46" s="4">
        <v>88.909710638997055</v>
      </c>
      <c r="AR46" s="4">
        <v>84.92476469143331</v>
      </c>
      <c r="AS46" s="4">
        <v>91.735312358275891</v>
      </c>
      <c r="AT46" s="4"/>
      <c r="AW46" s="2">
        <v>0.70833333333333337</v>
      </c>
      <c r="AX46" s="4">
        <v>3.9004643231442895</v>
      </c>
      <c r="AY46" s="4">
        <v>3.2101865658659028</v>
      </c>
      <c r="AZ46" s="4">
        <v>4.2555754598791049</v>
      </c>
      <c r="BA46" s="4"/>
    </row>
    <row r="47" spans="27:53" x14ac:dyDescent="0.25">
      <c r="AA47">
        <f t="shared" ca="1" si="0"/>
        <v>514.81483474218635</v>
      </c>
      <c r="AB47">
        <f t="shared" ca="1" si="1"/>
        <v>8</v>
      </c>
      <c r="AC47">
        <f t="shared" si="2"/>
        <v>603.40741737109317</v>
      </c>
      <c r="AD47">
        <f t="shared" si="3"/>
        <v>-96.59258262890684</v>
      </c>
      <c r="AE47">
        <f t="shared" si="4"/>
        <v>-0.96592582628906842</v>
      </c>
      <c r="AF47">
        <f t="shared" si="5"/>
        <v>645</v>
      </c>
      <c r="AI47" s="2">
        <v>0.75</v>
      </c>
      <c r="AJ47" s="4">
        <v>731.14189780828531</v>
      </c>
      <c r="AK47" s="4">
        <v>834.22354337240199</v>
      </c>
      <c r="AL47" s="4">
        <v>911.12283671044997</v>
      </c>
      <c r="AM47" s="4"/>
      <c r="AP47" s="2">
        <v>0.75</v>
      </c>
      <c r="AQ47" s="4">
        <v>88.55157573784625</v>
      </c>
      <c r="AR47" s="4">
        <v>85.570937736485135</v>
      </c>
      <c r="AS47" s="4">
        <v>91.227980157966144</v>
      </c>
      <c r="AT47" s="4"/>
      <c r="AW47" s="2">
        <v>0.75</v>
      </c>
      <c r="AX47" s="4">
        <v>3.8660882761330608</v>
      </c>
      <c r="AY47" s="4">
        <v>4.1934854293794315</v>
      </c>
      <c r="AZ47" s="4">
        <v>5.0245636282318795</v>
      </c>
      <c r="BA47" s="4"/>
    </row>
    <row r="48" spans="27:53" x14ac:dyDescent="0.25">
      <c r="AA48">
        <f t="shared" ca="1" si="0"/>
        <v>533.79491924311219</v>
      </c>
      <c r="AB48">
        <f t="shared" ca="1" si="1"/>
        <v>7</v>
      </c>
      <c r="AC48">
        <f t="shared" si="2"/>
        <v>613.3974596215561</v>
      </c>
      <c r="AD48">
        <f t="shared" si="3"/>
        <v>-86.602540378443919</v>
      </c>
      <c r="AE48">
        <f t="shared" si="4"/>
        <v>-0.86602540378443915</v>
      </c>
      <c r="AF48">
        <f t="shared" si="5"/>
        <v>660</v>
      </c>
      <c r="AI48" s="2">
        <v>0.79166666666666663</v>
      </c>
      <c r="AJ48" s="4">
        <v>711.02864219292769</v>
      </c>
      <c r="AK48" s="4">
        <v>823.35735683552161</v>
      </c>
      <c r="AL48" s="4">
        <v>900.47489073946099</v>
      </c>
      <c r="AM48" s="4"/>
      <c r="AP48" s="2">
        <v>0.79166666666666663</v>
      </c>
      <c r="AQ48" s="4">
        <v>88.336821612655726</v>
      </c>
      <c r="AR48" s="4">
        <v>84.755806920569398</v>
      </c>
      <c r="AS48" s="4">
        <v>90.651257135610976</v>
      </c>
      <c r="AT48" s="4"/>
      <c r="AW48" s="2">
        <v>0.79166666666666663</v>
      </c>
      <c r="AX48" s="4">
        <v>3.7101328435387404</v>
      </c>
      <c r="AY48" s="4">
        <v>3.2436859615212952</v>
      </c>
      <c r="AZ48" s="4">
        <v>4.2856798768931945</v>
      </c>
      <c r="BA48" s="4"/>
    </row>
    <row r="49" spans="27:53" x14ac:dyDescent="0.25">
      <c r="AA49">
        <f t="shared" ca="1" si="0"/>
        <v>549.57864376269049</v>
      </c>
      <c r="AB49">
        <f t="shared" ca="1" si="1"/>
        <v>-9</v>
      </c>
      <c r="AC49">
        <f t="shared" si="2"/>
        <v>629.28932188134524</v>
      </c>
      <c r="AD49">
        <f t="shared" si="3"/>
        <v>-70.710678118654727</v>
      </c>
      <c r="AE49">
        <f t="shared" si="4"/>
        <v>-0.70710678118654724</v>
      </c>
      <c r="AF49">
        <f t="shared" si="5"/>
        <v>675</v>
      </c>
      <c r="AI49" s="2">
        <v>0.83333333333333337</v>
      </c>
      <c r="AJ49" s="4">
        <v>678.61642141460129</v>
      </c>
      <c r="AK49" s="4">
        <v>757.92566281063228</v>
      </c>
      <c r="AL49" s="4">
        <v>871.41844236479824</v>
      </c>
      <c r="AM49" s="4"/>
      <c r="AP49" s="2">
        <v>0.83333333333333337</v>
      </c>
      <c r="AQ49" s="4">
        <v>89.253863978208344</v>
      </c>
      <c r="AR49" s="4">
        <v>84.01156564261349</v>
      </c>
      <c r="AS49" s="4">
        <v>90.205219366375232</v>
      </c>
      <c r="AT49" s="4"/>
      <c r="AW49" s="2">
        <v>0.83333333333333337</v>
      </c>
      <c r="AX49" s="4">
        <v>3.1166677325666048</v>
      </c>
      <c r="AY49" s="4">
        <v>3.6581415710191241</v>
      </c>
      <c r="AZ49" s="4">
        <v>5.2051727778600778</v>
      </c>
      <c r="BA49" s="4"/>
    </row>
    <row r="50" spans="27:53" x14ac:dyDescent="0.25">
      <c r="AA50">
        <f t="shared" ca="1" si="0"/>
        <v>599</v>
      </c>
      <c r="AB50">
        <f t="shared" ca="1" si="1"/>
        <v>-1</v>
      </c>
      <c r="AC50">
        <f t="shared" si="2"/>
        <v>650</v>
      </c>
      <c r="AD50">
        <f t="shared" si="3"/>
        <v>-49.999999999999986</v>
      </c>
      <c r="AE50">
        <f t="shared" si="4"/>
        <v>-0.49999999999999989</v>
      </c>
      <c r="AF50">
        <f t="shared" si="5"/>
        <v>690</v>
      </c>
      <c r="AI50" s="2">
        <v>0.875</v>
      </c>
      <c r="AJ50" s="4">
        <v>606.51749040459299</v>
      </c>
      <c r="AK50" s="4">
        <v>730.00050573430292</v>
      </c>
      <c r="AL50" s="4">
        <v>811.64814511263899</v>
      </c>
      <c r="AM50" s="4"/>
      <c r="AP50" s="2">
        <v>0.875</v>
      </c>
      <c r="AQ50" s="4">
        <v>88.683220018887809</v>
      </c>
      <c r="AR50" s="4">
        <v>84.266887991762417</v>
      </c>
      <c r="AS50" s="4">
        <v>90.531730856002582</v>
      </c>
      <c r="AT50" s="4"/>
      <c r="AW50" s="2">
        <v>0.875</v>
      </c>
      <c r="AX50" s="4">
        <v>3.9107756984568902</v>
      </c>
      <c r="AY50" s="4">
        <v>3.4665866521892728</v>
      </c>
      <c r="AZ50" s="4">
        <v>4.8701129978797084</v>
      </c>
      <c r="BA50" s="4"/>
    </row>
    <row r="51" spans="27:53" x14ac:dyDescent="0.25">
      <c r="AA51">
        <f t="shared" ca="1" si="0"/>
        <v>646.23619097949586</v>
      </c>
      <c r="AB51">
        <f t="shared" ca="1" si="1"/>
        <v>-2</v>
      </c>
      <c r="AC51">
        <f t="shared" si="2"/>
        <v>674.11809548974793</v>
      </c>
      <c r="AD51">
        <f t="shared" si="3"/>
        <v>-25.881904510252095</v>
      </c>
      <c r="AE51">
        <f t="shared" si="4"/>
        <v>-0.25881904510252096</v>
      </c>
      <c r="AF51">
        <f t="shared" si="5"/>
        <v>705</v>
      </c>
      <c r="AI51" s="2">
        <v>0.91666666666666663</v>
      </c>
      <c r="AJ51" s="4">
        <v>569.22285061028208</v>
      </c>
      <c r="AK51" s="4">
        <v>661.9463509278296</v>
      </c>
      <c r="AL51" s="4">
        <v>785.43441050085096</v>
      </c>
      <c r="AM51" s="4"/>
      <c r="AP51" s="2">
        <v>0.91666666666666663</v>
      </c>
      <c r="AQ51" s="4">
        <v>88.517289791481758</v>
      </c>
      <c r="AR51" s="4">
        <v>83.72789847640739</v>
      </c>
      <c r="AS51" s="4">
        <v>89.982543581166198</v>
      </c>
      <c r="AT51" s="4"/>
      <c r="AW51" s="2">
        <v>0.91666666666666663</v>
      </c>
      <c r="AX51" s="4">
        <v>3.7990330785408011</v>
      </c>
      <c r="AY51" s="4">
        <v>4.2252364768901032</v>
      </c>
      <c r="AZ51" s="4">
        <v>5.3446710076339521</v>
      </c>
      <c r="BA51" s="4"/>
    </row>
    <row r="52" spans="27:53" x14ac:dyDescent="0.25">
      <c r="AA52">
        <f t="shared" ca="1" si="0"/>
        <v>700</v>
      </c>
      <c r="AB52">
        <f t="shared" ca="1" si="1"/>
        <v>0</v>
      </c>
      <c r="AC52">
        <f t="shared" si="2"/>
        <v>700</v>
      </c>
      <c r="AD52">
        <f t="shared" si="3"/>
        <v>-4.90059381963448E-14</v>
      </c>
      <c r="AE52">
        <f t="shared" si="4"/>
        <v>-4.90059381963448E-16</v>
      </c>
      <c r="AF52">
        <f t="shared" si="5"/>
        <v>720</v>
      </c>
      <c r="AI52" s="2">
        <v>0.95833333333333337</v>
      </c>
      <c r="AJ52" s="4">
        <v>553.34710615487256</v>
      </c>
      <c r="AK52" s="4">
        <v>644.88536133587309</v>
      </c>
      <c r="AL52" s="4">
        <v>747.7904063078895</v>
      </c>
      <c r="AM52" s="4"/>
      <c r="AP52" s="2">
        <v>0.95833333333333337</v>
      </c>
      <c r="AQ52" s="4">
        <v>88.606414786126038</v>
      </c>
      <c r="AR52" s="4">
        <v>83.751112284674292</v>
      </c>
      <c r="AS52" s="4">
        <v>89.582686436930317</v>
      </c>
      <c r="AT52" s="4"/>
      <c r="AW52" s="2">
        <v>0.95833333333333337</v>
      </c>
      <c r="AX52" s="4">
        <v>3.5843079289256692</v>
      </c>
      <c r="AY52" s="4">
        <v>4.3654044102119087</v>
      </c>
      <c r="AZ52" s="4">
        <v>4.7286356521902579</v>
      </c>
      <c r="BA52" s="4"/>
    </row>
    <row r="53" spans="27:53" x14ac:dyDescent="0.25">
      <c r="AA53">
        <f t="shared" ca="1" si="0"/>
        <v>741.76380902050391</v>
      </c>
      <c r="AB53">
        <f t="shared" ca="1" si="1"/>
        <v>-10</v>
      </c>
      <c r="AC53">
        <f t="shared" si="2"/>
        <v>725.88190451025196</v>
      </c>
      <c r="AD53">
        <f t="shared" si="3"/>
        <v>25.881904510252003</v>
      </c>
      <c r="AE53">
        <f t="shared" si="4"/>
        <v>0.25881904510252002</v>
      </c>
      <c r="AF53">
        <f t="shared" si="5"/>
        <v>735</v>
      </c>
      <c r="AH53" s="1">
        <v>43468</v>
      </c>
      <c r="AI53" s="2">
        <v>0</v>
      </c>
      <c r="AJ53" s="4">
        <v>483.46681822696485</v>
      </c>
      <c r="AK53" s="4">
        <v>556.42688242672079</v>
      </c>
      <c r="AL53" s="4">
        <v>651.6138116501071</v>
      </c>
      <c r="AM53" s="4"/>
      <c r="AO53" s="1">
        <v>43468</v>
      </c>
      <c r="AP53" s="2">
        <v>0</v>
      </c>
      <c r="AQ53" s="4">
        <v>88.874977436817247</v>
      </c>
      <c r="AR53" s="4">
        <v>83.256091856926659</v>
      </c>
      <c r="AS53" s="4">
        <v>89.115346903691034</v>
      </c>
      <c r="AT53" s="4"/>
      <c r="AV53" s="1">
        <v>43468</v>
      </c>
      <c r="AW53" s="2">
        <v>0</v>
      </c>
      <c r="AX53" s="4">
        <v>4.3280002959721529</v>
      </c>
      <c r="AY53" s="4">
        <v>4.7238587979288367</v>
      </c>
      <c r="AZ53" s="4">
        <v>4.6070103908765896</v>
      </c>
      <c r="BA53" s="4"/>
    </row>
    <row r="54" spans="27:53" x14ac:dyDescent="0.25">
      <c r="AA54">
        <f t="shared" ca="1" si="0"/>
        <v>789.99999999999977</v>
      </c>
      <c r="AB54">
        <f t="shared" ca="1" si="1"/>
        <v>-10</v>
      </c>
      <c r="AC54">
        <f t="shared" si="2"/>
        <v>749.99999999999989</v>
      </c>
      <c r="AD54">
        <f t="shared" si="3"/>
        <v>49.999999999999908</v>
      </c>
      <c r="AE54">
        <f t="shared" si="4"/>
        <v>0.49999999999999906</v>
      </c>
      <c r="AF54">
        <f t="shared" si="5"/>
        <v>750</v>
      </c>
      <c r="AI54" s="2">
        <v>4.1666666666666664E-2</v>
      </c>
      <c r="AJ54" s="4">
        <v>446.16252520628547</v>
      </c>
      <c r="AK54" s="4">
        <v>532.09514427963086</v>
      </c>
      <c r="AL54" s="4">
        <v>608.50848889044187</v>
      </c>
      <c r="AM54" s="4"/>
      <c r="AP54" s="2">
        <v>4.1666666666666664E-2</v>
      </c>
      <c r="AQ54" s="4">
        <v>89.521427861600998</v>
      </c>
      <c r="AR54" s="4">
        <v>83.616706854584464</v>
      </c>
      <c r="AS54" s="4">
        <v>88.935259664880306</v>
      </c>
      <c r="AT54" s="4"/>
      <c r="AW54" s="2">
        <v>4.1666666666666664E-2</v>
      </c>
      <c r="AX54" s="4">
        <v>5.0515461200049696</v>
      </c>
      <c r="AY54" s="4">
        <v>5.2955739442274137</v>
      </c>
      <c r="AZ54" s="4">
        <v>4.554843411663521</v>
      </c>
      <c r="BA54" s="4"/>
    </row>
    <row r="55" spans="27:53" x14ac:dyDescent="0.25">
      <c r="AA55">
        <f t="shared" ca="1" si="0"/>
        <v>847.42135623730951</v>
      </c>
      <c r="AB55">
        <f t="shared" ca="1" si="1"/>
        <v>6</v>
      </c>
      <c r="AC55">
        <f t="shared" si="2"/>
        <v>770.71067811865476</v>
      </c>
      <c r="AD55">
        <f t="shared" si="3"/>
        <v>70.710678118654783</v>
      </c>
      <c r="AE55">
        <f t="shared" si="4"/>
        <v>0.70710678118654779</v>
      </c>
      <c r="AF55">
        <f t="shared" si="5"/>
        <v>765</v>
      </c>
      <c r="AI55" s="2">
        <v>8.3333333333333329E-2</v>
      </c>
      <c r="AJ55" s="4">
        <v>375.82510293892329</v>
      </c>
      <c r="AK55" s="4">
        <v>470.01853912310673</v>
      </c>
      <c r="AL55" s="4">
        <v>553.82961373377805</v>
      </c>
      <c r="AM55" s="4"/>
      <c r="AP55" s="2">
        <v>8.3333333333333329E-2</v>
      </c>
      <c r="AQ55" s="4">
        <v>88.724282031265787</v>
      </c>
      <c r="AR55" s="4">
        <v>83.568053884911436</v>
      </c>
      <c r="AS55" s="4">
        <v>88.705548059038478</v>
      </c>
      <c r="AT55" s="4"/>
      <c r="AW55" s="2">
        <v>8.3333333333333329E-2</v>
      </c>
      <c r="AX55" s="4">
        <v>4.2058431885675622</v>
      </c>
      <c r="AY55" s="4">
        <v>5.1614280718829768</v>
      </c>
      <c r="AZ55" s="4">
        <v>4.4298075248162085</v>
      </c>
      <c r="BA55" s="4"/>
    </row>
    <row r="56" spans="27:53" x14ac:dyDescent="0.25">
      <c r="AA56">
        <f t="shared" ca="1" si="0"/>
        <v>868.20508075688781</v>
      </c>
      <c r="AB56">
        <f t="shared" ca="1" si="1"/>
        <v>-5</v>
      </c>
      <c r="AC56">
        <f t="shared" si="2"/>
        <v>786.6025403784439</v>
      </c>
      <c r="AD56">
        <f t="shared" si="3"/>
        <v>86.602540378443877</v>
      </c>
      <c r="AE56">
        <f t="shared" si="4"/>
        <v>0.86602540378443871</v>
      </c>
      <c r="AF56">
        <f t="shared" si="5"/>
        <v>780</v>
      </c>
      <c r="AI56" s="2">
        <v>0.125</v>
      </c>
      <c r="AJ56" s="4">
        <v>324.85400576182104</v>
      </c>
      <c r="AK56" s="4">
        <v>482.19860446225505</v>
      </c>
      <c r="AL56" s="4">
        <v>569.96767338985569</v>
      </c>
      <c r="AM56" s="4"/>
      <c r="AP56" s="2">
        <v>0.125</v>
      </c>
      <c r="AQ56" s="4">
        <v>87.889747549059905</v>
      </c>
      <c r="AR56" s="4">
        <v>83.765477798333407</v>
      </c>
      <c r="AS56" s="4">
        <v>89.286943138667439</v>
      </c>
      <c r="AT56" s="4"/>
      <c r="AW56" s="2">
        <v>0.125</v>
      </c>
      <c r="AX56" s="4">
        <v>3.8174617816354526</v>
      </c>
      <c r="AY56" s="4">
        <v>4.6763587114884544</v>
      </c>
      <c r="AZ56" s="4">
        <v>4.9163257452054552</v>
      </c>
      <c r="BA56" s="4"/>
    </row>
    <row r="57" spans="27:53" x14ac:dyDescent="0.25">
      <c r="AA57">
        <f t="shared" ca="1" si="0"/>
        <v>887.18516525781365</v>
      </c>
      <c r="AB57">
        <f t="shared" ca="1" si="1"/>
        <v>-6</v>
      </c>
      <c r="AC57">
        <f t="shared" si="2"/>
        <v>796.59258262890683</v>
      </c>
      <c r="AD57">
        <f t="shared" si="3"/>
        <v>96.592582628906825</v>
      </c>
      <c r="AE57">
        <f t="shared" si="4"/>
        <v>0.9659258262890682</v>
      </c>
      <c r="AF57">
        <f t="shared" si="5"/>
        <v>795</v>
      </c>
      <c r="AI57" s="2">
        <v>0.16666666666666666</v>
      </c>
      <c r="AJ57" s="4">
        <v>339.74390697879574</v>
      </c>
      <c r="AK57" s="4">
        <v>432.79086646693003</v>
      </c>
      <c r="AL57" s="4">
        <v>523.31086623113083</v>
      </c>
      <c r="AM57" s="4"/>
      <c r="AP57" s="2">
        <v>0.16666666666666666</v>
      </c>
      <c r="AQ57" s="4">
        <v>87.693752030959061</v>
      </c>
      <c r="AR57" s="4">
        <v>83.221289828609287</v>
      </c>
      <c r="AS57" s="4">
        <v>90.04230702075408</v>
      </c>
      <c r="AT57" s="4"/>
      <c r="AW57" s="2">
        <v>0.16666666666666666</v>
      </c>
      <c r="AX57" s="4">
        <v>4.775389824996191</v>
      </c>
      <c r="AY57" s="4">
        <v>4.8895393274195973</v>
      </c>
      <c r="AZ57" s="4">
        <v>5.2082805189629928</v>
      </c>
      <c r="BA57" s="4"/>
    </row>
    <row r="58" spans="27:53" x14ac:dyDescent="0.25">
      <c r="AA58">
        <f t="shared" ca="1" si="0"/>
        <v>902</v>
      </c>
      <c r="AB58">
        <f t="shared" ca="1" si="1"/>
        <v>2</v>
      </c>
      <c r="AC58">
        <f t="shared" si="2"/>
        <v>800</v>
      </c>
      <c r="AD58">
        <f t="shared" si="3"/>
        <v>100</v>
      </c>
      <c r="AE58">
        <f t="shared" si="4"/>
        <v>1</v>
      </c>
      <c r="AF58">
        <f t="shared" si="5"/>
        <v>810</v>
      </c>
      <c r="AI58" s="2">
        <v>0.20833333333333334</v>
      </c>
      <c r="AJ58" s="4">
        <v>341.56852699028042</v>
      </c>
      <c r="AK58" s="4">
        <v>437.96638219905708</v>
      </c>
      <c r="AL58" s="4">
        <v>522.56236563217283</v>
      </c>
      <c r="AM58" s="4"/>
      <c r="AP58" s="2">
        <v>0.20833333333333334</v>
      </c>
      <c r="AQ58" s="4">
        <v>87.778627560455433</v>
      </c>
      <c r="AR58" s="4">
        <v>82.234597207127649</v>
      </c>
      <c r="AS58" s="4">
        <v>90.647335150246462</v>
      </c>
      <c r="AT58" s="4"/>
      <c r="AW58" s="2">
        <v>0.20833333333333334</v>
      </c>
      <c r="AX58" s="4">
        <v>4.2592120544706642</v>
      </c>
      <c r="AY58" s="4">
        <v>5.6513996111938161</v>
      </c>
      <c r="AZ58" s="4">
        <v>4.9585892562102245</v>
      </c>
      <c r="BA58" s="4"/>
    </row>
    <row r="59" spans="27:53" x14ac:dyDescent="0.25">
      <c r="AA59">
        <f t="shared" ca="1" si="0"/>
        <v>883.18516525781365</v>
      </c>
      <c r="AB59">
        <f t="shared" ca="1" si="1"/>
        <v>-10</v>
      </c>
      <c r="AC59">
        <f t="shared" si="2"/>
        <v>796.59258262890683</v>
      </c>
      <c r="AD59">
        <f t="shared" si="3"/>
        <v>96.592582628906854</v>
      </c>
      <c r="AE59">
        <f t="shared" si="4"/>
        <v>0.96592582628906853</v>
      </c>
      <c r="AF59">
        <f t="shared" si="5"/>
        <v>825</v>
      </c>
      <c r="AI59" s="2">
        <v>0.25</v>
      </c>
      <c r="AJ59" s="4">
        <v>340.06306398049668</v>
      </c>
      <c r="AK59" s="4">
        <v>428.98729677453133</v>
      </c>
      <c r="AL59" s="4">
        <v>555.31315803386235</v>
      </c>
      <c r="AM59" s="4"/>
      <c r="AP59" s="2">
        <v>0.25</v>
      </c>
      <c r="AQ59" s="4">
        <v>87.577544251739468</v>
      </c>
      <c r="AR59" s="4">
        <v>82.584473593051271</v>
      </c>
      <c r="AS59" s="4">
        <v>91.633746950211005</v>
      </c>
      <c r="AT59" s="4"/>
      <c r="AW59" s="2">
        <v>0.25</v>
      </c>
      <c r="AX59" s="4">
        <v>5.1152541070885347</v>
      </c>
      <c r="AY59" s="4">
        <v>5.4868125015732723</v>
      </c>
      <c r="AZ59" s="4">
        <v>5.5323814425397835</v>
      </c>
      <c r="BA59" s="4"/>
    </row>
    <row r="60" spans="27:53" x14ac:dyDescent="0.25">
      <c r="AA60">
        <f t="shared" ca="1" si="0"/>
        <v>870.20508075688758</v>
      </c>
      <c r="AB60">
        <f t="shared" ca="1" si="1"/>
        <v>-3</v>
      </c>
      <c r="AC60">
        <f t="shared" si="2"/>
        <v>786.60254037844379</v>
      </c>
      <c r="AD60">
        <f t="shared" si="3"/>
        <v>86.602540378443834</v>
      </c>
      <c r="AE60">
        <f t="shared" si="4"/>
        <v>0.86602540378443837</v>
      </c>
      <c r="AF60">
        <f t="shared" si="5"/>
        <v>840</v>
      </c>
      <c r="AI60" s="2">
        <v>0.29166666666666669</v>
      </c>
      <c r="AJ60" s="4">
        <v>371.94559092506643</v>
      </c>
      <c r="AK60" s="4">
        <v>471.80320194182298</v>
      </c>
      <c r="AL60" s="4">
        <v>526.43369156495658</v>
      </c>
      <c r="AM60" s="4"/>
      <c r="AP60" s="2">
        <v>0.29166666666666669</v>
      </c>
      <c r="AQ60" s="4">
        <v>86.722824544378469</v>
      </c>
      <c r="AR60" s="4">
        <v>81.935940359582446</v>
      </c>
      <c r="AS60" s="4">
        <v>92.339341977649397</v>
      </c>
      <c r="AT60" s="4"/>
      <c r="AW60" s="2">
        <v>0.29166666666666669</v>
      </c>
      <c r="AX60" s="4">
        <v>4.3661732246119005</v>
      </c>
      <c r="AY60" s="4">
        <v>5.3916961901824978</v>
      </c>
      <c r="AZ60" s="4">
        <v>5.4434888966819202</v>
      </c>
      <c r="BA60" s="4"/>
    </row>
    <row r="61" spans="27:53" x14ac:dyDescent="0.25">
      <c r="AA61">
        <f t="shared" ca="1" si="0"/>
        <v>851.42135623730951</v>
      </c>
      <c r="AB61">
        <f t="shared" ca="1" si="1"/>
        <v>10</v>
      </c>
      <c r="AC61">
        <f t="shared" si="2"/>
        <v>770.71067811865476</v>
      </c>
      <c r="AD61">
        <f t="shared" si="3"/>
        <v>70.710678118654741</v>
      </c>
      <c r="AE61">
        <f t="shared" si="4"/>
        <v>0.70710678118654735</v>
      </c>
      <c r="AF61">
        <f t="shared" si="5"/>
        <v>855</v>
      </c>
      <c r="AI61" s="2">
        <v>0.33333333333333331</v>
      </c>
      <c r="AJ61" s="4">
        <v>399.98149921316315</v>
      </c>
      <c r="AK61" s="4">
        <v>491.94465449490497</v>
      </c>
      <c r="AL61" s="4">
        <v>573.21319606673865</v>
      </c>
      <c r="AM61" s="4"/>
      <c r="AP61" s="2">
        <v>0.33333333333333331</v>
      </c>
      <c r="AQ61" s="4">
        <v>86.158133513201861</v>
      </c>
      <c r="AR61" s="4">
        <v>81.949241694695672</v>
      </c>
      <c r="AS61" s="4">
        <v>93.085466878288827</v>
      </c>
      <c r="AT61" s="4"/>
      <c r="AW61" s="2">
        <v>0.33333333333333331</v>
      </c>
      <c r="AX61" s="4">
        <v>4.4931919001487657</v>
      </c>
      <c r="AY61" s="4">
        <v>4.6087066193897677</v>
      </c>
      <c r="AZ61" s="4">
        <v>4.8950723129293792</v>
      </c>
      <c r="BA61" s="4"/>
    </row>
    <row r="62" spans="27:53" x14ac:dyDescent="0.25">
      <c r="AA62">
        <f t="shared" ca="1" si="0"/>
        <v>794</v>
      </c>
      <c r="AB62">
        <f t="shared" ca="1" si="1"/>
        <v>-6</v>
      </c>
      <c r="AC62">
        <f t="shared" si="2"/>
        <v>750</v>
      </c>
      <c r="AD62">
        <f t="shared" si="3"/>
        <v>50</v>
      </c>
      <c r="AE62">
        <f t="shared" si="4"/>
        <v>0.5</v>
      </c>
      <c r="AF62">
        <f t="shared" si="5"/>
        <v>870</v>
      </c>
      <c r="AI62" s="2">
        <v>0.375</v>
      </c>
      <c r="AJ62" s="4">
        <v>459.48092303002232</v>
      </c>
      <c r="AK62" s="4">
        <v>524.72035043695655</v>
      </c>
      <c r="AL62" s="4">
        <v>617.23433587558691</v>
      </c>
      <c r="AM62" s="4"/>
      <c r="AP62" s="2">
        <v>0.375</v>
      </c>
      <c r="AQ62" s="4">
        <v>86.282026851981783</v>
      </c>
      <c r="AR62" s="4">
        <v>81.274506355091688</v>
      </c>
      <c r="AS62" s="4">
        <v>94.041390627711522</v>
      </c>
      <c r="AT62" s="4"/>
      <c r="AW62" s="2">
        <v>0.375</v>
      </c>
      <c r="AX62" s="4">
        <v>4.9372567100493807</v>
      </c>
      <c r="AY62" s="4">
        <v>4.2752748385125221</v>
      </c>
      <c r="AZ62" s="4">
        <v>5.0531044511025209</v>
      </c>
      <c r="BA62" s="4"/>
    </row>
    <row r="63" spans="27:53" x14ac:dyDescent="0.25">
      <c r="AA63">
        <f t="shared" ca="1" si="0"/>
        <v>756.76380902050414</v>
      </c>
      <c r="AB63">
        <f t="shared" ca="1" si="1"/>
        <v>5</v>
      </c>
      <c r="AC63">
        <f t="shared" si="2"/>
        <v>725.88190451025207</v>
      </c>
      <c r="AD63">
        <f t="shared" si="3"/>
        <v>25.881904510252106</v>
      </c>
      <c r="AE63">
        <f t="shared" si="4"/>
        <v>0.25881904510252107</v>
      </c>
      <c r="AF63">
        <f t="shared" si="5"/>
        <v>885</v>
      </c>
      <c r="AI63" s="2">
        <v>0.41666666666666669</v>
      </c>
      <c r="AJ63" s="4">
        <v>455.41312635998372</v>
      </c>
      <c r="AK63" s="4">
        <v>573.46033445453929</v>
      </c>
      <c r="AL63" s="4">
        <v>689.03845531015247</v>
      </c>
      <c r="AM63" s="4"/>
      <c r="AP63" s="2">
        <v>0.41666666666666669</v>
      </c>
      <c r="AQ63" s="4">
        <v>85.810393727096681</v>
      </c>
      <c r="AR63" s="4">
        <v>82.074174988583763</v>
      </c>
      <c r="AS63" s="4">
        <v>93.775699612410818</v>
      </c>
      <c r="AT63" s="4"/>
      <c r="AW63" s="2">
        <v>0.41666666666666669</v>
      </c>
      <c r="AX63" s="4">
        <v>3.9755088637772036</v>
      </c>
      <c r="AY63" s="4">
        <v>3.6124404867851947</v>
      </c>
      <c r="AZ63" s="4">
        <v>4.3872698260819902</v>
      </c>
      <c r="BA63" s="4"/>
    </row>
    <row r="64" spans="27:53" x14ac:dyDescent="0.25">
      <c r="AA64">
        <f t="shared" ca="1" si="0"/>
        <v>699.00000000000023</v>
      </c>
      <c r="AB64">
        <f t="shared" ca="1" si="1"/>
        <v>-1</v>
      </c>
      <c r="AC64">
        <f t="shared" si="2"/>
        <v>700.00000000000011</v>
      </c>
      <c r="AD64">
        <f t="shared" si="3"/>
        <v>6.1257422745431001E-14</v>
      </c>
      <c r="AE64">
        <f t="shared" si="4"/>
        <v>6.1257422745431001E-16</v>
      </c>
      <c r="AF64">
        <f t="shared" si="5"/>
        <v>900</v>
      </c>
      <c r="AI64" s="2">
        <v>0.45833333333333331</v>
      </c>
      <c r="AJ64" s="4">
        <v>532.30064181065507</v>
      </c>
      <c r="AK64" s="4">
        <v>659.46000929397314</v>
      </c>
      <c r="AL64" s="4">
        <v>700.24158124128701</v>
      </c>
      <c r="AM64" s="4"/>
      <c r="AP64" s="2">
        <v>0.45833333333333331</v>
      </c>
      <c r="AQ64" s="4">
        <v>86.320987688778445</v>
      </c>
      <c r="AR64" s="4">
        <v>82.2385413486587</v>
      </c>
      <c r="AS64" s="4">
        <v>92.837902098952412</v>
      </c>
      <c r="AT64" s="4"/>
      <c r="AW64" s="2">
        <v>0.45833333333333331</v>
      </c>
      <c r="AX64" s="4">
        <v>4.3520481042011303</v>
      </c>
      <c r="AY64" s="4">
        <v>3.6391287012411371</v>
      </c>
      <c r="AZ64" s="4">
        <v>4.7756082265137811</v>
      </c>
      <c r="BA64" s="4"/>
    </row>
    <row r="65" spans="27:53" x14ac:dyDescent="0.25">
      <c r="AA65">
        <f t="shared" ca="1" si="0"/>
        <v>651.23619097949609</v>
      </c>
      <c r="AB65">
        <f t="shared" ca="1" si="1"/>
        <v>3</v>
      </c>
      <c r="AC65">
        <f t="shared" si="2"/>
        <v>674.11809548974804</v>
      </c>
      <c r="AD65">
        <f t="shared" si="3"/>
        <v>-25.881904510251985</v>
      </c>
      <c r="AE65">
        <f t="shared" si="4"/>
        <v>-0.25881904510251985</v>
      </c>
      <c r="AF65">
        <f t="shared" si="5"/>
        <v>915</v>
      </c>
      <c r="AI65" s="2">
        <v>0.5</v>
      </c>
      <c r="AJ65" s="4">
        <v>557.81626162745317</v>
      </c>
      <c r="AK65" s="4">
        <v>687.26455017725561</v>
      </c>
      <c r="AL65" s="4">
        <v>798.38575506619623</v>
      </c>
      <c r="AM65" s="4"/>
      <c r="AP65" s="2">
        <v>0.5</v>
      </c>
      <c r="AQ65" s="4">
        <v>86.426453789818424</v>
      </c>
      <c r="AR65" s="4">
        <v>82.115137632028919</v>
      </c>
      <c r="AS65" s="4">
        <v>93.349639571355951</v>
      </c>
      <c r="AT65" s="4"/>
      <c r="AW65" s="2">
        <v>0.5</v>
      </c>
      <c r="AX65" s="4">
        <v>5.2328892590867078</v>
      </c>
      <c r="AY65" s="4">
        <v>2.8956112565803158</v>
      </c>
      <c r="AZ65" s="4">
        <v>5.6327852172827679</v>
      </c>
      <c r="BA65" s="4"/>
    </row>
    <row r="66" spans="27:53" x14ac:dyDescent="0.25">
      <c r="AA66">
        <f t="shared" ca="1" si="0"/>
        <v>599.00000000000023</v>
      </c>
      <c r="AB66">
        <f t="shared" ca="1" si="1"/>
        <v>-1</v>
      </c>
      <c r="AC66">
        <f t="shared" si="2"/>
        <v>650.00000000000011</v>
      </c>
      <c r="AD66">
        <f t="shared" si="3"/>
        <v>-49.999999999999893</v>
      </c>
      <c r="AE66">
        <f t="shared" si="4"/>
        <v>-0.49999999999999895</v>
      </c>
      <c r="AF66">
        <f t="shared" si="5"/>
        <v>930</v>
      </c>
      <c r="AI66" s="2">
        <v>0.54166666666666663</v>
      </c>
      <c r="AJ66" s="4">
        <v>644.45237872364726</v>
      </c>
      <c r="AK66" s="4">
        <v>749.66544200613714</v>
      </c>
      <c r="AL66" s="4">
        <v>801.86594658464423</v>
      </c>
      <c r="AM66" s="4"/>
      <c r="AP66" s="2">
        <v>0.54166666666666663</v>
      </c>
      <c r="AQ66" s="4">
        <v>86.691072395530185</v>
      </c>
      <c r="AR66" s="4">
        <v>81.387340152094765</v>
      </c>
      <c r="AS66" s="4">
        <v>94.089499306632277</v>
      </c>
      <c r="AT66" s="4"/>
      <c r="AW66" s="2">
        <v>0.54166666666666663</v>
      </c>
      <c r="AX66" s="4">
        <v>4.9734084711608118</v>
      </c>
      <c r="AY66" s="4">
        <v>2.0835231401850089</v>
      </c>
      <c r="AZ66" s="4">
        <v>5.1690141196174508</v>
      </c>
      <c r="BA66" s="4"/>
    </row>
    <row r="67" spans="27:53" x14ac:dyDescent="0.25">
      <c r="AA67">
        <f t="shared" ca="1" si="0"/>
        <v>563.57864376269049</v>
      </c>
      <c r="AB67">
        <f t="shared" ca="1" si="1"/>
        <v>5</v>
      </c>
      <c r="AC67">
        <f t="shared" si="2"/>
        <v>629.28932188134524</v>
      </c>
      <c r="AD67">
        <f t="shared" si="3"/>
        <v>-70.710678118654769</v>
      </c>
      <c r="AE67">
        <f t="shared" si="4"/>
        <v>-0.70710678118654768</v>
      </c>
      <c r="AF67">
        <f t="shared" si="5"/>
        <v>945</v>
      </c>
      <c r="AI67" s="2">
        <v>0.58333333333333337</v>
      </c>
      <c r="AJ67" s="4">
        <v>703.97308255995767</v>
      </c>
      <c r="AK67" s="4">
        <v>788.45550305520953</v>
      </c>
      <c r="AL67" s="4">
        <v>853.21548463563806</v>
      </c>
      <c r="AM67" s="4"/>
      <c r="AP67" s="2">
        <v>0.58333333333333337</v>
      </c>
      <c r="AQ67" s="4">
        <v>85.800368044644216</v>
      </c>
      <c r="AR67" s="4">
        <v>80.688615904282415</v>
      </c>
      <c r="AS67" s="4">
        <v>94.575308361501328</v>
      </c>
      <c r="AT67" s="4"/>
      <c r="AW67" s="2">
        <v>0.58333333333333337</v>
      </c>
      <c r="AX67" s="4">
        <v>5.5423166751715751</v>
      </c>
      <c r="AY67" s="4">
        <v>1.3467942489559031</v>
      </c>
      <c r="AZ67" s="4">
        <v>4.1833808922397111</v>
      </c>
      <c r="BA67" s="4"/>
    </row>
    <row r="68" spans="27:53" x14ac:dyDescent="0.25">
      <c r="AA68">
        <f t="shared" ca="1" si="0"/>
        <v>530.79491924311242</v>
      </c>
      <c r="AB68">
        <f t="shared" ca="1" si="1"/>
        <v>4</v>
      </c>
      <c r="AC68">
        <f t="shared" si="2"/>
        <v>613.39745962155621</v>
      </c>
      <c r="AD68">
        <f t="shared" si="3"/>
        <v>-86.602540378443777</v>
      </c>
      <c r="AE68">
        <f t="shared" si="4"/>
        <v>-0.86602540378443771</v>
      </c>
      <c r="AF68">
        <f t="shared" si="5"/>
        <v>960</v>
      </c>
      <c r="AI68" s="2">
        <v>0.625</v>
      </c>
      <c r="AJ68" s="4">
        <v>689.88549782846735</v>
      </c>
      <c r="AK68" s="4">
        <v>787.85846282381181</v>
      </c>
      <c r="AL68" s="4">
        <v>885.45726554241253</v>
      </c>
      <c r="AM68" s="4"/>
      <c r="AP68" s="2">
        <v>0.625</v>
      </c>
      <c r="AQ68" s="4">
        <v>86.672122670203393</v>
      </c>
      <c r="AR68" s="4">
        <v>81.071288579473688</v>
      </c>
      <c r="AS68" s="4">
        <v>95.395358145879158</v>
      </c>
      <c r="AT68" s="4"/>
      <c r="AW68" s="2">
        <v>0.625</v>
      </c>
      <c r="AX68" s="4">
        <v>5.1355471222337528</v>
      </c>
      <c r="AY68" s="4">
        <v>0.9428916419255049</v>
      </c>
      <c r="AZ68" s="4">
        <v>4.5518663454163164</v>
      </c>
      <c r="BA68" s="4"/>
    </row>
    <row r="69" spans="27:53" x14ac:dyDescent="0.25">
      <c r="AA69">
        <f t="shared" ref="AA69:AA132" ca="1" si="6">AB69+AC69+AD69</f>
        <v>512.81483474218635</v>
      </c>
      <c r="AB69">
        <f t="shared" ref="AB69:AB132" ca="1" si="7">RANDBETWEEN(-10,10)</f>
        <v>6</v>
      </c>
      <c r="AC69">
        <f t="shared" ref="AC69:AC132" si="8">AD69+700</f>
        <v>603.40741737109317</v>
      </c>
      <c r="AD69">
        <f t="shared" ref="AD69:AD132" si="9">100*AE69</f>
        <v>-96.592582628906825</v>
      </c>
      <c r="AE69">
        <f t="shared" ref="AE69:AE132" si="10">SIN(RADIANS(AF69))</f>
        <v>-0.9659258262890682</v>
      </c>
      <c r="AF69">
        <f t="shared" si="5"/>
        <v>975</v>
      </c>
      <c r="AI69" s="2">
        <v>0.66666666666666663</v>
      </c>
      <c r="AJ69" s="4">
        <v>720.99459174525907</v>
      </c>
      <c r="AK69" s="4">
        <v>852.21138729156053</v>
      </c>
      <c r="AL69" s="4">
        <v>912.18864583794903</v>
      </c>
      <c r="AM69" s="4"/>
      <c r="AP69" s="2">
        <v>0.66666666666666663</v>
      </c>
      <c r="AQ69" s="4">
        <v>87.408559235854028</v>
      </c>
      <c r="AR69" s="4">
        <v>81.653359179231458</v>
      </c>
      <c r="AS69" s="4">
        <v>94.851566309398038</v>
      </c>
      <c r="AT69" s="4"/>
      <c r="AW69" s="2">
        <v>0.66666666666666663</v>
      </c>
      <c r="AX69" s="4">
        <v>4.7746125382530309</v>
      </c>
      <c r="AY69" s="4">
        <v>1.1760957604720281</v>
      </c>
      <c r="AZ69" s="4">
        <v>5.4694465596861122</v>
      </c>
      <c r="BA69" s="4"/>
    </row>
    <row r="70" spans="27:53" x14ac:dyDescent="0.25">
      <c r="AA70">
        <f t="shared" ca="1" si="6"/>
        <v>503</v>
      </c>
      <c r="AB70">
        <f t="shared" ca="1" si="7"/>
        <v>3</v>
      </c>
      <c r="AC70">
        <f t="shared" si="8"/>
        <v>600</v>
      </c>
      <c r="AD70">
        <f t="shared" si="9"/>
        <v>-100</v>
      </c>
      <c r="AE70">
        <f t="shared" si="10"/>
        <v>-1</v>
      </c>
      <c r="AF70">
        <f t="shared" ref="AF70:AF99" si="11">AF69+15</f>
        <v>990</v>
      </c>
      <c r="AI70" s="2">
        <v>0.70833333333333337</v>
      </c>
      <c r="AJ70" s="4">
        <v>745.16145754898207</v>
      </c>
      <c r="AK70" s="4">
        <v>845.83124468837343</v>
      </c>
      <c r="AL70" s="4">
        <v>921.4210665441941</v>
      </c>
      <c r="AM70" s="4"/>
      <c r="AP70" s="2">
        <v>0.70833333333333337</v>
      </c>
      <c r="AQ70" s="4">
        <v>87.798822230464722</v>
      </c>
      <c r="AR70" s="4">
        <v>80.876223951005045</v>
      </c>
      <c r="AS70" s="4">
        <v>94.826513485554543</v>
      </c>
      <c r="AT70" s="4"/>
      <c r="AW70" s="2">
        <v>0.70833333333333337</v>
      </c>
      <c r="AX70" s="4">
        <v>4.05886742096002</v>
      </c>
      <c r="AY70" s="4">
        <v>0.53080757218577146</v>
      </c>
      <c r="AZ70" s="4">
        <v>4.9051842600677649</v>
      </c>
      <c r="BA70" s="4"/>
    </row>
    <row r="71" spans="27:53" x14ac:dyDescent="0.25">
      <c r="AA71">
        <f t="shared" ca="1" si="6"/>
        <v>503.81483474218635</v>
      </c>
      <c r="AB71">
        <f t="shared" ca="1" si="7"/>
        <v>-3</v>
      </c>
      <c r="AC71">
        <f t="shared" si="8"/>
        <v>603.40741737109317</v>
      </c>
      <c r="AD71">
        <f t="shared" si="9"/>
        <v>-96.592582628906854</v>
      </c>
      <c r="AE71">
        <f t="shared" si="10"/>
        <v>-0.96592582628906853</v>
      </c>
      <c r="AF71">
        <f t="shared" si="11"/>
        <v>1005</v>
      </c>
      <c r="AI71" s="2">
        <v>0.75</v>
      </c>
      <c r="AJ71" s="4">
        <v>734.43344722197639</v>
      </c>
      <c r="AK71" s="4">
        <v>839.95487558728337</v>
      </c>
      <c r="AL71" s="4">
        <v>920.56039173055274</v>
      </c>
      <c r="AM71" s="4"/>
      <c r="AP71" s="2">
        <v>0.75</v>
      </c>
      <c r="AQ71" s="4">
        <v>87.01998811425895</v>
      </c>
      <c r="AR71" s="4">
        <v>81.041391208114192</v>
      </c>
      <c r="AS71" s="4">
        <v>94.015425998320154</v>
      </c>
      <c r="AT71" s="4"/>
      <c r="AW71" s="2">
        <v>0.75</v>
      </c>
      <c r="AX71" s="4">
        <v>4.7373506110245218</v>
      </c>
      <c r="AY71" s="4">
        <v>1.0738241718071198</v>
      </c>
      <c r="AZ71" s="4">
        <v>4.2028751184754345</v>
      </c>
      <c r="BA71" s="4"/>
    </row>
    <row r="72" spans="27:53" x14ac:dyDescent="0.25">
      <c r="AA72">
        <f t="shared" ca="1" si="6"/>
        <v>535.79491924311242</v>
      </c>
      <c r="AB72">
        <f t="shared" ca="1" si="7"/>
        <v>9</v>
      </c>
      <c r="AC72">
        <f t="shared" si="8"/>
        <v>613.39745962155621</v>
      </c>
      <c r="AD72">
        <f t="shared" si="9"/>
        <v>-86.602540378443834</v>
      </c>
      <c r="AE72">
        <f t="shared" si="10"/>
        <v>-0.86602540378443837</v>
      </c>
      <c r="AF72">
        <f t="shared" si="11"/>
        <v>1020</v>
      </c>
      <c r="AI72" s="2">
        <v>0.79166666666666663</v>
      </c>
      <c r="AJ72" s="4">
        <v>716.21437201986998</v>
      </c>
      <c r="AK72" s="4">
        <v>815.33623039591862</v>
      </c>
      <c r="AL72" s="4">
        <v>911.15087149210535</v>
      </c>
      <c r="AM72" s="4"/>
      <c r="AP72" s="2">
        <v>0.79166666666666663</v>
      </c>
      <c r="AQ72" s="4">
        <v>86.193556573527658</v>
      </c>
      <c r="AR72" s="4">
        <v>80.540196697753544</v>
      </c>
      <c r="AS72" s="4">
        <v>93.613732303774114</v>
      </c>
      <c r="AT72" s="4"/>
      <c r="AW72" s="2">
        <v>0.79166666666666663</v>
      </c>
      <c r="AX72" s="4">
        <v>4.0124246809893256</v>
      </c>
      <c r="AY72" s="4">
        <v>1.5175784518932709</v>
      </c>
      <c r="AZ72" s="4">
        <v>5.0777190774824685</v>
      </c>
      <c r="BA72" s="4"/>
    </row>
    <row r="73" spans="27:53" x14ac:dyDescent="0.25">
      <c r="AA73">
        <f t="shared" ca="1" si="6"/>
        <v>565.57864376269026</v>
      </c>
      <c r="AB73">
        <f t="shared" ca="1" si="7"/>
        <v>7</v>
      </c>
      <c r="AC73">
        <f t="shared" si="8"/>
        <v>629.28932188134513</v>
      </c>
      <c r="AD73">
        <f t="shared" si="9"/>
        <v>-70.710678118654869</v>
      </c>
      <c r="AE73">
        <f t="shared" si="10"/>
        <v>-0.70710678118654868</v>
      </c>
      <c r="AF73">
        <f t="shared" si="11"/>
        <v>1035</v>
      </c>
      <c r="AI73" s="2">
        <v>0.83333333333333337</v>
      </c>
      <c r="AJ73" s="4">
        <v>664.73881834803171</v>
      </c>
      <c r="AK73" s="4">
        <v>787.90138428677574</v>
      </c>
      <c r="AL73" s="4">
        <v>867.67359540515565</v>
      </c>
      <c r="AM73" s="4"/>
      <c r="AP73" s="2">
        <v>0.83333333333333337</v>
      </c>
      <c r="AQ73" s="4">
        <v>85.854668353180557</v>
      </c>
      <c r="AR73" s="4">
        <v>80.560113288846665</v>
      </c>
      <c r="AS73" s="4">
        <v>93.300531379474506</v>
      </c>
      <c r="AT73" s="4"/>
      <c r="AW73" s="2">
        <v>0.83333333333333337</v>
      </c>
      <c r="AX73" s="4">
        <v>4.8993377990031375</v>
      </c>
      <c r="AY73" s="4">
        <v>1.9783470540414561</v>
      </c>
      <c r="AZ73" s="4">
        <v>4.8600310130423354</v>
      </c>
      <c r="BA73" s="4"/>
    </row>
    <row r="74" spans="27:53" x14ac:dyDescent="0.25">
      <c r="AA74">
        <f t="shared" ca="1" si="6"/>
        <v>598</v>
      </c>
      <c r="AB74">
        <f t="shared" ca="1" si="7"/>
        <v>-2</v>
      </c>
      <c r="AC74">
        <f t="shared" si="8"/>
        <v>650</v>
      </c>
      <c r="AD74">
        <f t="shared" si="9"/>
        <v>-50.000000000000014</v>
      </c>
      <c r="AE74">
        <f t="shared" si="10"/>
        <v>-0.50000000000000011</v>
      </c>
      <c r="AF74">
        <f t="shared" si="11"/>
        <v>1050</v>
      </c>
      <c r="AI74" s="2">
        <v>0.875</v>
      </c>
      <c r="AJ74" s="4">
        <v>619.1905687738913</v>
      </c>
      <c r="AK74" s="4">
        <v>723.70821369701707</v>
      </c>
      <c r="AL74" s="4">
        <v>821.47191845587156</v>
      </c>
      <c r="AM74" s="4"/>
      <c r="AP74" s="2">
        <v>0.875</v>
      </c>
      <c r="AQ74" s="4">
        <v>86.580056831874757</v>
      </c>
      <c r="AR74" s="4">
        <v>80.903718021302069</v>
      </c>
      <c r="AS74" s="4">
        <v>93.096865232067714</v>
      </c>
      <c r="AT74" s="4"/>
      <c r="AW74" s="2">
        <v>0.875</v>
      </c>
      <c r="AX74" s="4">
        <v>5.2303634598442477</v>
      </c>
      <c r="AY74" s="4">
        <v>1.372278601167602</v>
      </c>
      <c r="AZ74" s="4">
        <v>4.3703475506230909</v>
      </c>
      <c r="BA74" s="4"/>
    </row>
    <row r="75" spans="27:53" x14ac:dyDescent="0.25">
      <c r="AA75">
        <f t="shared" ca="1" si="6"/>
        <v>641.23619097949609</v>
      </c>
      <c r="AB75">
        <f t="shared" ca="1" si="7"/>
        <v>-7</v>
      </c>
      <c r="AC75">
        <f t="shared" si="8"/>
        <v>674.11809548974804</v>
      </c>
      <c r="AD75">
        <f t="shared" si="9"/>
        <v>-25.881904510251946</v>
      </c>
      <c r="AE75">
        <f t="shared" si="10"/>
        <v>-0.25881904510251946</v>
      </c>
      <c r="AF75">
        <f t="shared" si="11"/>
        <v>1065</v>
      </c>
      <c r="AI75" s="2">
        <v>0.91666666666666663</v>
      </c>
      <c r="AJ75" s="4">
        <v>557.77500154589666</v>
      </c>
      <c r="AK75" s="4">
        <v>686.90413509639768</v>
      </c>
      <c r="AL75" s="4">
        <v>764.07367503210844</v>
      </c>
      <c r="AM75" s="4"/>
      <c r="AP75" s="2">
        <v>0.91666666666666663</v>
      </c>
      <c r="AQ75" s="4">
        <v>85.699770935622922</v>
      </c>
      <c r="AR75" s="4">
        <v>81.87215729267929</v>
      </c>
      <c r="AS75" s="4">
        <v>93.3581774076832</v>
      </c>
      <c r="AT75" s="4"/>
      <c r="AW75" s="2">
        <v>0.91666666666666663</v>
      </c>
      <c r="AX75" s="4">
        <v>4.7758746800808183</v>
      </c>
      <c r="AY75" s="4">
        <v>2.1875828660841403</v>
      </c>
      <c r="AZ75" s="4">
        <v>4.8718553773418689</v>
      </c>
      <c r="BA75" s="4"/>
    </row>
    <row r="76" spans="27:53" x14ac:dyDescent="0.25">
      <c r="AA76">
        <f t="shared" ca="1" si="6"/>
        <v>698.99999999999977</v>
      </c>
      <c r="AB76">
        <f t="shared" ca="1" si="7"/>
        <v>-1</v>
      </c>
      <c r="AC76">
        <f t="shared" si="8"/>
        <v>699.99999999999989</v>
      </c>
      <c r="AD76">
        <f t="shared" si="9"/>
        <v>-7.3508907294517201E-14</v>
      </c>
      <c r="AE76">
        <f t="shared" si="10"/>
        <v>-7.3508907294517201E-16</v>
      </c>
      <c r="AF76">
        <f t="shared" si="11"/>
        <v>1080</v>
      </c>
      <c r="AI76" s="2">
        <v>0.95833333333333337</v>
      </c>
      <c r="AJ76" s="4">
        <v>511.03290952752144</v>
      </c>
      <c r="AK76" s="4">
        <v>611.39855504962725</v>
      </c>
      <c r="AL76" s="4">
        <v>745.32846398331037</v>
      </c>
      <c r="AM76" s="4"/>
      <c r="AP76" s="2">
        <v>0.95833333333333337</v>
      </c>
      <c r="AQ76" s="4">
        <v>85.45810261714233</v>
      </c>
      <c r="AR76" s="4">
        <v>81.439933233731452</v>
      </c>
      <c r="AS76" s="4">
        <v>93.583264052982514</v>
      </c>
      <c r="AT76" s="4"/>
      <c r="AW76" s="2">
        <v>0.95833333333333337</v>
      </c>
      <c r="AX76" s="4">
        <v>4.0730220345187051</v>
      </c>
      <c r="AY76" s="4">
        <v>1.3712568759813553</v>
      </c>
      <c r="AZ76" s="4">
        <v>5.5166930157054681</v>
      </c>
      <c r="BA76" s="4"/>
    </row>
    <row r="77" spans="27:53" x14ac:dyDescent="0.25">
      <c r="AA77">
        <f t="shared" ca="1" si="6"/>
        <v>758.76380902050437</v>
      </c>
      <c r="AB77">
        <f t="shared" ca="1" si="7"/>
        <v>7</v>
      </c>
      <c r="AC77">
        <f t="shared" si="8"/>
        <v>725.88190451025218</v>
      </c>
      <c r="AD77">
        <f t="shared" si="9"/>
        <v>25.881904510252145</v>
      </c>
      <c r="AE77">
        <f t="shared" si="10"/>
        <v>0.25881904510252146</v>
      </c>
      <c r="AF77">
        <f t="shared" si="11"/>
        <v>1095</v>
      </c>
      <c r="AH77" s="1">
        <v>43469</v>
      </c>
      <c r="AI77" s="2">
        <v>0</v>
      </c>
      <c r="AJ77" s="4">
        <v>456.279357687176</v>
      </c>
      <c r="AK77" s="4">
        <v>573.08978298378167</v>
      </c>
      <c r="AL77" s="4">
        <v>703.42127103719349</v>
      </c>
      <c r="AM77" s="4"/>
      <c r="AO77" s="1">
        <v>43469</v>
      </c>
      <c r="AP77" s="2">
        <v>0</v>
      </c>
      <c r="AQ77" s="4">
        <v>84.573474557373103</v>
      </c>
      <c r="AR77" s="4">
        <v>81.276704838492932</v>
      </c>
      <c r="AS77" s="4">
        <v>94.303916883000909</v>
      </c>
      <c r="AT77" s="4"/>
      <c r="AV77" s="1">
        <v>43469</v>
      </c>
      <c r="AW77" s="2">
        <v>0</v>
      </c>
      <c r="AX77" s="4">
        <v>4.4104433849932319</v>
      </c>
      <c r="AY77" s="4">
        <v>0.57831858738393249</v>
      </c>
      <c r="AZ77" s="4">
        <v>4.6429551654666215</v>
      </c>
      <c r="BA77" s="4"/>
    </row>
    <row r="78" spans="27:53" x14ac:dyDescent="0.25">
      <c r="AA78">
        <f t="shared" ca="1" si="6"/>
        <v>807.99999999999977</v>
      </c>
      <c r="AB78">
        <f t="shared" ca="1" si="7"/>
        <v>8</v>
      </c>
      <c r="AC78">
        <f t="shared" si="8"/>
        <v>749.99999999999989</v>
      </c>
      <c r="AD78">
        <f t="shared" si="9"/>
        <v>49.999999999999886</v>
      </c>
      <c r="AE78">
        <f t="shared" si="10"/>
        <v>0.49999999999999883</v>
      </c>
      <c r="AF78">
        <f t="shared" si="11"/>
        <v>1110</v>
      </c>
      <c r="AI78" s="2">
        <v>4.1666666666666664E-2</v>
      </c>
      <c r="AJ78" s="4">
        <v>452.40140443283065</v>
      </c>
      <c r="AK78" s="4">
        <v>512.56052066087398</v>
      </c>
      <c r="AL78" s="4">
        <v>617.17528201031132</v>
      </c>
      <c r="AM78" s="4"/>
      <c r="AP78" s="2">
        <v>4.1666666666666664E-2</v>
      </c>
      <c r="AQ78" s="4">
        <v>84.174840766114826</v>
      </c>
      <c r="AR78" s="4">
        <v>80.632852788021907</v>
      </c>
      <c r="AS78" s="4">
        <v>93.714313664093481</v>
      </c>
      <c r="AT78" s="4"/>
      <c r="AW78" s="2">
        <v>4.1666666666666664E-2</v>
      </c>
      <c r="AX78" s="4">
        <v>3.8382373558990821</v>
      </c>
      <c r="AY78" s="4">
        <v>0.5941780622306394</v>
      </c>
      <c r="AZ78" s="4">
        <v>4.8157284688308781</v>
      </c>
      <c r="BA78" s="4"/>
    </row>
    <row r="79" spans="27:53" x14ac:dyDescent="0.25">
      <c r="AA79">
        <f t="shared" ca="1" si="6"/>
        <v>832.42135623730951</v>
      </c>
      <c r="AB79">
        <f t="shared" ca="1" si="7"/>
        <v>-9</v>
      </c>
      <c r="AC79">
        <f t="shared" si="8"/>
        <v>770.71067811865476</v>
      </c>
      <c r="AD79">
        <f t="shared" si="9"/>
        <v>70.710678118654755</v>
      </c>
      <c r="AE79">
        <f t="shared" si="10"/>
        <v>0.70710678118654757</v>
      </c>
      <c r="AF79">
        <f t="shared" si="11"/>
        <v>1125</v>
      </c>
      <c r="AI79" s="2">
        <v>8.3333333333333329E-2</v>
      </c>
      <c r="AJ79" s="4">
        <v>409.56825624328059</v>
      </c>
      <c r="AK79" s="4">
        <v>460.18305249417529</v>
      </c>
      <c r="AL79" s="4">
        <v>561.82206831693941</v>
      </c>
      <c r="AM79" s="4"/>
      <c r="AP79" s="2">
        <v>8.3333333333333329E-2</v>
      </c>
      <c r="AQ79" s="4">
        <v>83.357714637331597</v>
      </c>
      <c r="AR79" s="4">
        <v>81.526584119008461</v>
      </c>
      <c r="AS79" s="4">
        <v>94.231894139034907</v>
      </c>
      <c r="AT79" s="4"/>
      <c r="AW79" s="2">
        <v>8.3333333333333329E-2</v>
      </c>
      <c r="AX79" s="4">
        <v>4.435369506866393</v>
      </c>
      <c r="AY79" s="4">
        <v>1.327024715668204</v>
      </c>
      <c r="AZ79" s="4">
        <v>4.9464455239384195</v>
      </c>
      <c r="BA79" s="4"/>
    </row>
    <row r="80" spans="27:53" x14ac:dyDescent="0.25">
      <c r="AA80">
        <f t="shared" ca="1" si="6"/>
        <v>882.20508075688758</v>
      </c>
      <c r="AB80">
        <f t="shared" ca="1" si="7"/>
        <v>9</v>
      </c>
      <c r="AC80">
        <f t="shared" si="8"/>
        <v>786.60254037844379</v>
      </c>
      <c r="AD80">
        <f t="shared" si="9"/>
        <v>86.602540378443777</v>
      </c>
      <c r="AE80">
        <f t="shared" si="10"/>
        <v>0.86602540378443771</v>
      </c>
      <c r="AF80">
        <f t="shared" si="11"/>
        <v>1140</v>
      </c>
      <c r="AI80" s="2">
        <v>0.125</v>
      </c>
      <c r="AJ80" s="4">
        <v>362.63098926814621</v>
      </c>
      <c r="AK80" s="4">
        <v>473.16694450531509</v>
      </c>
      <c r="AL80" s="4">
        <v>551.79456941286082</v>
      </c>
      <c r="AM80" s="4"/>
      <c r="AP80" s="2">
        <v>0.125</v>
      </c>
      <c r="AQ80" s="4">
        <v>84.20270458405993</v>
      </c>
      <c r="AR80" s="4">
        <v>80.814882820579186</v>
      </c>
      <c r="AS80" s="4">
        <v>94.439508657712565</v>
      </c>
      <c r="AT80" s="4"/>
      <c r="AW80" s="2">
        <v>0.125</v>
      </c>
      <c r="AX80" s="4">
        <v>4.4732700136577002</v>
      </c>
      <c r="AY80" s="4">
        <v>1.6798650183154782</v>
      </c>
      <c r="AZ80" s="4">
        <v>5.9037000045806334</v>
      </c>
      <c r="BA80" s="4"/>
    </row>
    <row r="81" spans="27:53" x14ac:dyDescent="0.25">
      <c r="AA81">
        <f t="shared" ca="1" si="6"/>
        <v>885.18516525781365</v>
      </c>
      <c r="AB81">
        <f t="shared" ca="1" si="7"/>
        <v>-8</v>
      </c>
      <c r="AC81">
        <f t="shared" si="8"/>
        <v>796.59258262890683</v>
      </c>
      <c r="AD81">
        <f t="shared" si="9"/>
        <v>96.592582628906825</v>
      </c>
      <c r="AE81">
        <f t="shared" si="10"/>
        <v>0.9659258262890682</v>
      </c>
      <c r="AF81">
        <f t="shared" si="11"/>
        <v>1155</v>
      </c>
      <c r="AI81" s="2">
        <v>0.16666666666666666</v>
      </c>
      <c r="AJ81" s="4">
        <v>355.50863632599163</v>
      </c>
      <c r="AK81" s="4">
        <v>402.73654107428854</v>
      </c>
      <c r="AL81" s="4">
        <v>522.59566219102317</v>
      </c>
      <c r="AM81" s="4"/>
      <c r="AP81" s="2">
        <v>0.16666666666666666</v>
      </c>
      <c r="AQ81" s="4">
        <v>84.005322201736973</v>
      </c>
      <c r="AR81" s="4">
        <v>81.334190439159187</v>
      </c>
      <c r="AS81" s="4">
        <v>94.030270898730819</v>
      </c>
      <c r="AT81" s="4"/>
      <c r="AW81" s="2">
        <v>0.16666666666666666</v>
      </c>
      <c r="AX81" s="4">
        <v>4.5291165790524701</v>
      </c>
      <c r="AY81" s="4">
        <v>2.2464223616018888</v>
      </c>
      <c r="AZ81" s="4">
        <v>5.6093430087590148</v>
      </c>
      <c r="BA81" s="4"/>
    </row>
    <row r="82" spans="27:53" x14ac:dyDescent="0.25">
      <c r="AA82">
        <f t="shared" ca="1" si="6"/>
        <v>902</v>
      </c>
      <c r="AB82">
        <f t="shared" ca="1" si="7"/>
        <v>2</v>
      </c>
      <c r="AC82">
        <f t="shared" si="8"/>
        <v>800</v>
      </c>
      <c r="AD82">
        <f t="shared" si="9"/>
        <v>100</v>
      </c>
      <c r="AE82">
        <f t="shared" si="10"/>
        <v>1</v>
      </c>
      <c r="AF82">
        <f t="shared" si="11"/>
        <v>1170</v>
      </c>
      <c r="AI82" s="2">
        <v>0.20833333333333334</v>
      </c>
      <c r="AJ82" s="4">
        <v>351.48604667419215</v>
      </c>
      <c r="AK82" s="4">
        <v>412.44677676081506</v>
      </c>
      <c r="AL82" s="4">
        <v>505.29561626105385</v>
      </c>
      <c r="AM82" s="4"/>
      <c r="AP82" s="2">
        <v>0.20833333333333334</v>
      </c>
      <c r="AQ82" s="4">
        <v>84.143437209794115</v>
      </c>
      <c r="AR82" s="4">
        <v>80.504572598785515</v>
      </c>
      <c r="AS82" s="4">
        <v>93.571939364073259</v>
      </c>
      <c r="AT82" s="4"/>
      <c r="AW82" s="2">
        <v>0.20833333333333334</v>
      </c>
      <c r="AX82" s="4">
        <v>4.1273769911298119</v>
      </c>
      <c r="AY82" s="4">
        <v>2.2672455663341284</v>
      </c>
      <c r="AZ82" s="4">
        <v>5.114462787478665</v>
      </c>
      <c r="BA82" s="4"/>
    </row>
    <row r="83" spans="27:53" x14ac:dyDescent="0.25">
      <c r="AA83">
        <f t="shared" ca="1" si="6"/>
        <v>902.18516525781365</v>
      </c>
      <c r="AB83">
        <f t="shared" ca="1" si="7"/>
        <v>9</v>
      </c>
      <c r="AC83">
        <f t="shared" si="8"/>
        <v>796.59258262890683</v>
      </c>
      <c r="AD83">
        <f t="shared" si="9"/>
        <v>96.592582628906854</v>
      </c>
      <c r="AE83">
        <f t="shared" si="10"/>
        <v>0.96592582628906853</v>
      </c>
      <c r="AF83">
        <f t="shared" si="11"/>
        <v>1185</v>
      </c>
      <c r="AI83" s="2">
        <v>0.25</v>
      </c>
      <c r="AJ83" s="4">
        <v>339.22225562821751</v>
      </c>
      <c r="AK83" s="4">
        <v>418.92386131414651</v>
      </c>
      <c r="AL83" s="4">
        <v>520.62560117361363</v>
      </c>
      <c r="AM83" s="4"/>
      <c r="AP83" s="2">
        <v>0.25</v>
      </c>
      <c r="AQ83" s="4">
        <v>85.002727827437454</v>
      </c>
      <c r="AR83" s="4">
        <v>80.686443775322886</v>
      </c>
      <c r="AS83" s="4">
        <v>94.372431712235894</v>
      </c>
      <c r="AT83" s="4"/>
      <c r="AW83" s="2">
        <v>0.25</v>
      </c>
      <c r="AX83" s="4">
        <v>3.2507238458438286</v>
      </c>
      <c r="AY83" s="4">
        <v>2.0456044054138909</v>
      </c>
      <c r="AZ83" s="4">
        <v>4.8146293703306196</v>
      </c>
      <c r="BA83" s="4"/>
    </row>
    <row r="84" spans="27:53" x14ac:dyDescent="0.25">
      <c r="AA84">
        <f t="shared" ca="1" si="6"/>
        <v>869.20508075688758</v>
      </c>
      <c r="AB84">
        <f t="shared" ca="1" si="7"/>
        <v>-4</v>
      </c>
      <c r="AC84">
        <f t="shared" si="8"/>
        <v>786.60254037844379</v>
      </c>
      <c r="AD84">
        <f t="shared" si="9"/>
        <v>86.602540378443848</v>
      </c>
      <c r="AE84">
        <f t="shared" si="10"/>
        <v>0.86602540378443849</v>
      </c>
      <c r="AF84">
        <f t="shared" si="11"/>
        <v>1200</v>
      </c>
      <c r="AI84" s="2">
        <v>0.29166666666666669</v>
      </c>
      <c r="AJ84" s="4">
        <v>323.39980799800941</v>
      </c>
      <c r="AK84" s="4">
        <v>466.51965475191673</v>
      </c>
      <c r="AL84" s="4">
        <v>532.74591491160743</v>
      </c>
      <c r="AM84" s="4"/>
      <c r="AP84" s="2">
        <v>0.29166666666666669</v>
      </c>
      <c r="AQ84" s="4">
        <v>85.27851649035911</v>
      </c>
      <c r="AR84" s="4">
        <v>81.467819814664622</v>
      </c>
      <c r="AS84" s="4">
        <v>93.666227318715187</v>
      </c>
      <c r="AT84" s="4"/>
      <c r="AW84" s="2">
        <v>0.29166666666666669</v>
      </c>
      <c r="AX84" s="4">
        <v>4.2372130735475322</v>
      </c>
      <c r="AY84" s="4">
        <v>2.9812049404400667</v>
      </c>
      <c r="AZ84" s="4">
        <v>5.2092187098923324</v>
      </c>
      <c r="BA84" s="4"/>
    </row>
    <row r="85" spans="27:53" x14ac:dyDescent="0.25">
      <c r="AA85">
        <f t="shared" ca="1" si="6"/>
        <v>833.42135623730974</v>
      </c>
      <c r="AB85">
        <f t="shared" ca="1" si="7"/>
        <v>-8</v>
      </c>
      <c r="AC85">
        <f t="shared" si="8"/>
        <v>770.71067811865487</v>
      </c>
      <c r="AD85">
        <f t="shared" si="9"/>
        <v>70.710678118654869</v>
      </c>
      <c r="AE85">
        <f t="shared" si="10"/>
        <v>0.70710678118654868</v>
      </c>
      <c r="AF85">
        <f t="shared" si="11"/>
        <v>1215</v>
      </c>
      <c r="AI85" s="2">
        <v>0.33333333333333331</v>
      </c>
      <c r="AJ85" s="4">
        <v>406.9388251844365</v>
      </c>
      <c r="AK85" s="4">
        <v>481.18254729410734</v>
      </c>
      <c r="AL85" s="4">
        <v>601.70752032741632</v>
      </c>
      <c r="AM85" s="4"/>
      <c r="AP85" s="2">
        <v>0.33333333333333331</v>
      </c>
      <c r="AQ85" s="4">
        <v>85.014420401031558</v>
      </c>
      <c r="AR85" s="4">
        <v>82.115872925875081</v>
      </c>
      <c r="AS85" s="4">
        <v>93.962014937991555</v>
      </c>
      <c r="AT85" s="4"/>
      <c r="AW85" s="2">
        <v>0.33333333333333331</v>
      </c>
      <c r="AX85" s="4">
        <v>3.4519647851044701</v>
      </c>
      <c r="AY85" s="4">
        <v>3.6323047955901386</v>
      </c>
      <c r="AZ85" s="4">
        <v>5.1810784480440235</v>
      </c>
      <c r="BA85" s="4"/>
    </row>
    <row r="86" spans="27:53" x14ac:dyDescent="0.25">
      <c r="AA86">
        <f t="shared" ca="1" si="6"/>
        <v>807</v>
      </c>
      <c r="AB86">
        <f t="shared" ca="1" si="7"/>
        <v>7</v>
      </c>
      <c r="AC86">
        <f t="shared" si="8"/>
        <v>750</v>
      </c>
      <c r="AD86">
        <f t="shared" si="9"/>
        <v>50.000000000000021</v>
      </c>
      <c r="AE86">
        <f t="shared" si="10"/>
        <v>0.50000000000000022</v>
      </c>
      <c r="AF86">
        <f t="shared" si="11"/>
        <v>1230</v>
      </c>
      <c r="AI86" s="2">
        <v>0.375</v>
      </c>
      <c r="AJ86" s="4">
        <v>435.97366144041962</v>
      </c>
      <c r="AK86" s="4">
        <v>513.21014922837981</v>
      </c>
      <c r="AL86" s="4">
        <v>632.1052282437812</v>
      </c>
      <c r="AM86" s="4"/>
      <c r="AP86" s="2">
        <v>0.375</v>
      </c>
      <c r="AQ86" s="4">
        <v>84.358076449207061</v>
      </c>
      <c r="AR86" s="4">
        <v>82.262583296100416</v>
      </c>
      <c r="AS86" s="4">
        <v>94.347298564473178</v>
      </c>
      <c r="AT86" s="4"/>
      <c r="AW86" s="2">
        <v>0.375</v>
      </c>
      <c r="AX86" s="4">
        <v>3.2101759459549823</v>
      </c>
      <c r="AY86" s="4">
        <v>3.3444262926134396</v>
      </c>
      <c r="AZ86" s="4">
        <v>4.5569142381679528</v>
      </c>
      <c r="BA86" s="4"/>
    </row>
    <row r="87" spans="27:53" x14ac:dyDescent="0.25">
      <c r="AA87">
        <f t="shared" ca="1" si="6"/>
        <v>746.76380902050391</v>
      </c>
      <c r="AB87">
        <f t="shared" ca="1" si="7"/>
        <v>-5</v>
      </c>
      <c r="AC87">
        <f t="shared" si="8"/>
        <v>725.88190451025196</v>
      </c>
      <c r="AD87">
        <f t="shared" si="9"/>
        <v>25.881904510251957</v>
      </c>
      <c r="AE87">
        <f t="shared" si="10"/>
        <v>0.25881904510251957</v>
      </c>
      <c r="AF87">
        <f t="shared" si="11"/>
        <v>1245</v>
      </c>
      <c r="AI87" s="2">
        <v>0.41666666666666669</v>
      </c>
      <c r="AJ87" s="4">
        <v>456.80834661931084</v>
      </c>
      <c r="AK87" s="4">
        <v>577.88508176215737</v>
      </c>
      <c r="AL87" s="4">
        <v>658.0886864370425</v>
      </c>
      <c r="AM87" s="4"/>
      <c r="AP87" s="2">
        <v>0.41666666666666669</v>
      </c>
      <c r="AQ87" s="4">
        <v>84.062217006717276</v>
      </c>
      <c r="AR87" s="4">
        <v>82.758509599733756</v>
      </c>
      <c r="AS87" s="4">
        <v>95.07270478686641</v>
      </c>
      <c r="AT87" s="4"/>
      <c r="AW87" s="2">
        <v>0.41666666666666669</v>
      </c>
      <c r="AX87" s="4">
        <v>2.2611405091366552</v>
      </c>
      <c r="AY87" s="4">
        <v>3.0185922731273886</v>
      </c>
      <c r="AZ87" s="4">
        <v>3.991514377039616</v>
      </c>
      <c r="BA87" s="4"/>
    </row>
    <row r="88" spans="27:53" x14ac:dyDescent="0.25">
      <c r="AA88">
        <f t="shared" ca="1" si="6"/>
        <v>706.00000000000023</v>
      </c>
      <c r="AB88">
        <f t="shared" ca="1" si="7"/>
        <v>6</v>
      </c>
      <c r="AC88">
        <f t="shared" si="8"/>
        <v>700.00000000000011</v>
      </c>
      <c r="AD88">
        <f t="shared" si="9"/>
        <v>8.5760391843603401E-14</v>
      </c>
      <c r="AE88">
        <f t="shared" si="10"/>
        <v>8.5760391843603401E-16</v>
      </c>
      <c r="AF88">
        <f t="shared" si="11"/>
        <v>1260</v>
      </c>
      <c r="AI88" s="2">
        <v>0.45833333333333331</v>
      </c>
      <c r="AJ88" s="4">
        <v>518.49547308716569</v>
      </c>
      <c r="AK88" s="4">
        <v>655.28231023685419</v>
      </c>
      <c r="AL88" s="4">
        <v>751.62004015445473</v>
      </c>
      <c r="AM88" s="4"/>
      <c r="AP88" s="2">
        <v>0.45833333333333331</v>
      </c>
      <c r="AQ88" s="4">
        <v>84.803517682586431</v>
      </c>
      <c r="AR88" s="4">
        <v>82.886901252302692</v>
      </c>
      <c r="AS88" s="4">
        <v>95.932771535160668</v>
      </c>
      <c r="AT88" s="4"/>
      <c r="AW88" s="2">
        <v>0.45833333333333331</v>
      </c>
      <c r="AX88" s="4">
        <v>2.9459666575593153</v>
      </c>
      <c r="AY88" s="4">
        <v>2.1134905441166687</v>
      </c>
      <c r="AZ88" s="4">
        <v>3.935533597928107</v>
      </c>
      <c r="BA88" s="4"/>
    </row>
    <row r="89" spans="27:53" x14ac:dyDescent="0.25">
      <c r="AA89">
        <f t="shared" ca="1" si="6"/>
        <v>650.23619097949563</v>
      </c>
      <c r="AB89">
        <f t="shared" ca="1" si="7"/>
        <v>2</v>
      </c>
      <c r="AC89">
        <f t="shared" si="8"/>
        <v>674.11809548974782</v>
      </c>
      <c r="AD89">
        <f t="shared" si="9"/>
        <v>-25.881904510252134</v>
      </c>
      <c r="AE89">
        <f t="shared" si="10"/>
        <v>-0.25881904510252135</v>
      </c>
      <c r="AF89">
        <f t="shared" si="11"/>
        <v>1275</v>
      </c>
      <c r="AI89" s="2">
        <v>0.5</v>
      </c>
      <c r="AJ89" s="4">
        <v>556.73131196946758</v>
      </c>
      <c r="AK89" s="4">
        <v>669.81466490239677</v>
      </c>
      <c r="AL89" s="4">
        <v>778.19784299504602</v>
      </c>
      <c r="AM89" s="4"/>
      <c r="AP89" s="2">
        <v>0.5</v>
      </c>
      <c r="AQ89" s="4">
        <v>84.87627667168158</v>
      </c>
      <c r="AR89" s="4">
        <v>82.793657624703982</v>
      </c>
      <c r="AS89" s="4">
        <v>95.733265501355575</v>
      </c>
      <c r="AT89" s="4"/>
      <c r="AW89" s="2">
        <v>0.5</v>
      </c>
      <c r="AX89" s="4">
        <v>3.4472115230343991</v>
      </c>
      <c r="AY89" s="4">
        <v>1.6029388047822168</v>
      </c>
      <c r="AZ89" s="4">
        <v>4.7568569542995087</v>
      </c>
      <c r="BA89" s="4"/>
    </row>
    <row r="90" spans="27:53" x14ac:dyDescent="0.25">
      <c r="AA90">
        <f t="shared" ca="1" si="6"/>
        <v>594.00000000000023</v>
      </c>
      <c r="AB90">
        <f t="shared" ca="1" si="7"/>
        <v>-6</v>
      </c>
      <c r="AC90">
        <f t="shared" si="8"/>
        <v>650.00000000000011</v>
      </c>
      <c r="AD90">
        <f t="shared" si="9"/>
        <v>-49.999999999999872</v>
      </c>
      <c r="AE90">
        <f t="shared" si="10"/>
        <v>-0.49999999999999872</v>
      </c>
      <c r="AF90">
        <f t="shared" si="11"/>
        <v>1290</v>
      </c>
      <c r="AI90" s="2">
        <v>0.54166666666666663</v>
      </c>
      <c r="AJ90" s="4">
        <v>617.50488083546861</v>
      </c>
      <c r="AK90" s="4">
        <v>736.24050695963911</v>
      </c>
      <c r="AL90" s="4">
        <v>824.82422657820598</v>
      </c>
      <c r="AM90" s="4"/>
      <c r="AP90" s="2">
        <v>0.54166666666666663</v>
      </c>
      <c r="AQ90" s="4">
        <v>85.329595718617114</v>
      </c>
      <c r="AR90" s="4">
        <v>83.783223369974365</v>
      </c>
      <c r="AS90" s="4">
        <v>95.706875885746683</v>
      </c>
      <c r="AT90" s="4"/>
      <c r="AW90" s="2">
        <v>0.54166666666666663</v>
      </c>
      <c r="AX90" s="4">
        <v>4.285405307424873</v>
      </c>
      <c r="AY90" s="4">
        <v>2.3401037724564198</v>
      </c>
      <c r="AZ90" s="4">
        <v>4.9931698229593664</v>
      </c>
      <c r="BA90" s="4"/>
    </row>
    <row r="91" spans="27:53" x14ac:dyDescent="0.25">
      <c r="AA91">
        <f t="shared" ca="1" si="6"/>
        <v>561.57864376269049</v>
      </c>
      <c r="AB91">
        <f t="shared" ca="1" si="7"/>
        <v>3</v>
      </c>
      <c r="AC91">
        <f t="shared" si="8"/>
        <v>629.28932188134524</v>
      </c>
      <c r="AD91">
        <f t="shared" si="9"/>
        <v>-70.710678118654755</v>
      </c>
      <c r="AE91">
        <f t="shared" si="10"/>
        <v>-0.70710678118654757</v>
      </c>
      <c r="AF91">
        <f t="shared" si="11"/>
        <v>1305</v>
      </c>
      <c r="AI91" s="2">
        <v>0.58333333333333337</v>
      </c>
      <c r="AJ91" s="4">
        <v>666.32876885870019</v>
      </c>
      <c r="AK91" s="4">
        <v>788.38212121113543</v>
      </c>
      <c r="AL91" s="4">
        <v>847.20929861477327</v>
      </c>
      <c r="AM91" s="4"/>
      <c r="AP91" s="2">
        <v>0.58333333333333337</v>
      </c>
      <c r="AQ91" s="4">
        <v>85.455303916068985</v>
      </c>
      <c r="AR91" s="4">
        <v>83.855652803248319</v>
      </c>
      <c r="AS91" s="4">
        <v>94.837205325092185</v>
      </c>
      <c r="AT91" s="4"/>
      <c r="AW91" s="2">
        <v>0.58333333333333337</v>
      </c>
      <c r="AX91" s="4">
        <v>3.3400726510891747</v>
      </c>
      <c r="AY91" s="4">
        <v>1.4825395063590643</v>
      </c>
      <c r="AZ91" s="4">
        <v>5.1675265565385597</v>
      </c>
      <c r="BA91" s="4"/>
    </row>
    <row r="92" spans="27:53" x14ac:dyDescent="0.25">
      <c r="AA92">
        <f t="shared" ca="1" si="6"/>
        <v>520.79491924311242</v>
      </c>
      <c r="AB92">
        <f t="shared" ca="1" si="7"/>
        <v>-6</v>
      </c>
      <c r="AC92">
        <f t="shared" si="8"/>
        <v>613.39745962155621</v>
      </c>
      <c r="AD92">
        <f t="shared" si="9"/>
        <v>-86.602540378443763</v>
      </c>
      <c r="AE92">
        <f t="shared" si="10"/>
        <v>-0.8660254037844376</v>
      </c>
      <c r="AF92">
        <f t="shared" si="11"/>
        <v>1320</v>
      </c>
      <c r="AI92" s="2">
        <v>0.625</v>
      </c>
      <c r="AJ92" s="4">
        <v>714.43475942815087</v>
      </c>
      <c r="AK92" s="4">
        <v>828.94829916681397</v>
      </c>
      <c r="AL92" s="4">
        <v>925.63564631557301</v>
      </c>
      <c r="AM92" s="4"/>
      <c r="AP92" s="2">
        <v>0.625</v>
      </c>
      <c r="AQ92" s="4">
        <v>86.336114685397121</v>
      </c>
      <c r="AR92" s="4">
        <v>84.238161775868392</v>
      </c>
      <c r="AS92" s="4">
        <v>95.304495405977889</v>
      </c>
      <c r="AT92" s="4"/>
      <c r="AW92" s="2">
        <v>0.625</v>
      </c>
      <c r="AX92" s="4">
        <v>3.2531886707708031</v>
      </c>
      <c r="AY92" s="4">
        <v>1.7977472674717827</v>
      </c>
      <c r="AZ92" s="4">
        <v>4.6040691281119575</v>
      </c>
      <c r="BA92" s="4"/>
    </row>
    <row r="93" spans="27:53" x14ac:dyDescent="0.25">
      <c r="AA93">
        <f t="shared" ca="1" si="6"/>
        <v>504.81483474218635</v>
      </c>
      <c r="AB93">
        <f t="shared" ca="1" si="7"/>
        <v>-2</v>
      </c>
      <c r="AC93">
        <f t="shared" si="8"/>
        <v>603.40741737109317</v>
      </c>
      <c r="AD93">
        <f t="shared" si="9"/>
        <v>-96.592582628906811</v>
      </c>
      <c r="AE93">
        <f t="shared" si="10"/>
        <v>-0.96592582628906809</v>
      </c>
      <c r="AF93">
        <f t="shared" si="11"/>
        <v>1335</v>
      </c>
      <c r="AI93" s="2">
        <v>0.66666666666666663</v>
      </c>
      <c r="AJ93" s="4">
        <v>738.06015757223167</v>
      </c>
      <c r="AK93" s="4">
        <v>818.92390107597498</v>
      </c>
      <c r="AL93" s="4">
        <v>903.86389021555306</v>
      </c>
      <c r="AM93" s="4"/>
      <c r="AP93" s="2">
        <v>0.66666666666666663</v>
      </c>
      <c r="AQ93" s="4">
        <v>87.200356200026491</v>
      </c>
      <c r="AR93" s="4">
        <v>84.090981180705256</v>
      </c>
      <c r="AS93" s="4">
        <v>94.599081041015722</v>
      </c>
      <c r="AT93" s="4"/>
      <c r="AW93" s="2">
        <v>0.66666666666666663</v>
      </c>
      <c r="AX93" s="4">
        <v>4.2232811026678823</v>
      </c>
      <c r="AY93" s="4">
        <v>2.0548725659876461</v>
      </c>
      <c r="AZ93" s="4">
        <v>4.3414181343021143</v>
      </c>
      <c r="BA93" s="4"/>
    </row>
    <row r="94" spans="27:53" x14ac:dyDescent="0.25">
      <c r="AA94">
        <f t="shared" ca="1" si="6"/>
        <v>500</v>
      </c>
      <c r="AB94">
        <f t="shared" ca="1" si="7"/>
        <v>0</v>
      </c>
      <c r="AC94">
        <f t="shared" si="8"/>
        <v>600</v>
      </c>
      <c r="AD94">
        <f t="shared" si="9"/>
        <v>-100</v>
      </c>
      <c r="AE94">
        <f t="shared" si="10"/>
        <v>-1</v>
      </c>
      <c r="AF94">
        <f t="shared" si="11"/>
        <v>1350</v>
      </c>
      <c r="AI94" s="2">
        <v>0.70833333333333337</v>
      </c>
      <c r="AJ94" s="4">
        <v>759.26860267030872</v>
      </c>
      <c r="AK94" s="4">
        <v>837.07945757303764</v>
      </c>
      <c r="AL94" s="4">
        <v>926.44566064990192</v>
      </c>
      <c r="AM94" s="4"/>
      <c r="AP94" s="2">
        <v>0.70833333333333337</v>
      </c>
      <c r="AQ94" s="4">
        <v>86.900917318769203</v>
      </c>
      <c r="AR94" s="4">
        <v>83.984642119695224</v>
      </c>
      <c r="AS94" s="4">
        <v>94.468192848609249</v>
      </c>
      <c r="AT94" s="4"/>
      <c r="AW94" s="2">
        <v>0.70833333333333337</v>
      </c>
      <c r="AX94" s="4">
        <v>4.6473490472671424</v>
      </c>
      <c r="AY94" s="4">
        <v>1.3339155370030236</v>
      </c>
      <c r="AZ94" s="4">
        <v>3.5689967818398416</v>
      </c>
      <c r="BA94" s="4"/>
    </row>
    <row r="95" spans="27:53" x14ac:dyDescent="0.25">
      <c r="AA95">
        <f t="shared" ca="1" si="6"/>
        <v>504.81483474218629</v>
      </c>
      <c r="AB95">
        <f t="shared" ca="1" si="7"/>
        <v>-2</v>
      </c>
      <c r="AC95">
        <f t="shared" si="8"/>
        <v>603.40741737109317</v>
      </c>
      <c r="AD95">
        <f t="shared" si="9"/>
        <v>-96.592582628906868</v>
      </c>
      <c r="AE95">
        <f t="shared" si="10"/>
        <v>-0.96592582628906865</v>
      </c>
      <c r="AF95">
        <f t="shared" si="11"/>
        <v>1365</v>
      </c>
      <c r="AI95" s="2">
        <v>0.75</v>
      </c>
      <c r="AJ95" s="4">
        <v>738.41250376288133</v>
      </c>
      <c r="AK95" s="4">
        <v>820.16011773787818</v>
      </c>
      <c r="AL95" s="4">
        <v>903.08043489189299</v>
      </c>
      <c r="AM95" s="4"/>
      <c r="AP95" s="2">
        <v>0.75</v>
      </c>
      <c r="AQ95" s="4">
        <v>86.91872797345907</v>
      </c>
      <c r="AR95" s="4">
        <v>83.51825772655846</v>
      </c>
      <c r="AS95" s="4">
        <v>93.788997570179916</v>
      </c>
      <c r="AT95" s="4"/>
      <c r="AW95" s="2">
        <v>0.75</v>
      </c>
      <c r="AX95" s="4">
        <v>5.4520485955098996</v>
      </c>
      <c r="AY95" s="4">
        <v>1.7614541611676922</v>
      </c>
      <c r="AZ95" s="4">
        <v>3.1887135477872577</v>
      </c>
      <c r="BA95" s="4"/>
    </row>
    <row r="96" spans="27:53" x14ac:dyDescent="0.25">
      <c r="AA96">
        <f t="shared" ca="1" si="6"/>
        <v>531.79491924311242</v>
      </c>
      <c r="AB96">
        <f t="shared" ca="1" si="7"/>
        <v>5</v>
      </c>
      <c r="AC96">
        <f t="shared" si="8"/>
        <v>613.39745962155621</v>
      </c>
      <c r="AD96">
        <f t="shared" si="9"/>
        <v>-86.602540378443848</v>
      </c>
      <c r="AE96">
        <f t="shared" si="10"/>
        <v>-0.86602540378443849</v>
      </c>
      <c r="AF96">
        <f t="shared" si="11"/>
        <v>1380</v>
      </c>
      <c r="AI96" s="2">
        <v>0.79166666666666663</v>
      </c>
      <c r="AJ96" s="4">
        <v>730.40621459069791</v>
      </c>
      <c r="AK96" s="4">
        <v>787.90989683591397</v>
      </c>
      <c r="AL96" s="4">
        <v>897.44368738150331</v>
      </c>
      <c r="AM96" s="4"/>
      <c r="AP96" s="2">
        <v>0.79166666666666663</v>
      </c>
      <c r="AQ96" s="4">
        <v>87.567412897594167</v>
      </c>
      <c r="AR96" s="4">
        <v>82.608177326410868</v>
      </c>
      <c r="AS96" s="4">
        <v>92.837934974365879</v>
      </c>
      <c r="AT96" s="4"/>
      <c r="AW96" s="2">
        <v>0.79166666666666663</v>
      </c>
      <c r="AX96" s="4">
        <v>5.200043784487967</v>
      </c>
      <c r="AY96" s="4">
        <v>1.2454079094841175</v>
      </c>
      <c r="AZ96" s="4">
        <v>2.9716615123670342</v>
      </c>
      <c r="BA96" s="4"/>
    </row>
    <row r="97" spans="27:53" x14ac:dyDescent="0.25">
      <c r="AA97">
        <f t="shared" ca="1" si="6"/>
        <v>566.57864376269026</v>
      </c>
      <c r="AB97">
        <f t="shared" ca="1" si="7"/>
        <v>8</v>
      </c>
      <c r="AC97">
        <f t="shared" si="8"/>
        <v>629.28932188134513</v>
      </c>
      <c r="AD97">
        <f t="shared" si="9"/>
        <v>-70.710678118654883</v>
      </c>
      <c r="AE97">
        <f t="shared" si="10"/>
        <v>-0.70710678118654879</v>
      </c>
      <c r="AF97">
        <f t="shared" si="11"/>
        <v>1395</v>
      </c>
      <c r="AI97" s="2">
        <v>0.83333333333333337</v>
      </c>
      <c r="AJ97" s="4">
        <v>656.8504843018228</v>
      </c>
      <c r="AK97" s="4">
        <v>757.28711472694761</v>
      </c>
      <c r="AL97" s="4">
        <v>897.73568447967875</v>
      </c>
      <c r="AM97" s="4"/>
      <c r="AP97" s="2">
        <v>0.83333333333333337</v>
      </c>
      <c r="AQ97" s="4">
        <v>86.687331546968664</v>
      </c>
      <c r="AR97" s="4">
        <v>81.738043096184541</v>
      </c>
      <c r="AS97" s="4">
        <v>92.797947750441452</v>
      </c>
      <c r="AT97" s="4"/>
      <c r="AW97" s="2">
        <v>0.83333333333333337</v>
      </c>
      <c r="AX97" s="4">
        <v>4.2499097215022701</v>
      </c>
      <c r="AY97" s="4">
        <v>1.9158749407248812</v>
      </c>
      <c r="AZ97" s="4">
        <v>2.1099292596270964</v>
      </c>
      <c r="BA97" s="4"/>
    </row>
    <row r="98" spans="27:53" x14ac:dyDescent="0.25">
      <c r="AA98">
        <f t="shared" ca="1" si="6"/>
        <v>592</v>
      </c>
      <c r="AB98">
        <f t="shared" ca="1" si="7"/>
        <v>-8</v>
      </c>
      <c r="AC98">
        <f t="shared" si="8"/>
        <v>650</v>
      </c>
      <c r="AD98">
        <f t="shared" si="9"/>
        <v>-50.000000000000036</v>
      </c>
      <c r="AE98">
        <f t="shared" si="10"/>
        <v>-0.50000000000000033</v>
      </c>
      <c r="AF98">
        <f t="shared" si="11"/>
        <v>1410</v>
      </c>
      <c r="AI98" s="2">
        <v>0.875</v>
      </c>
      <c r="AJ98" s="4">
        <v>632.72364176997644</v>
      </c>
      <c r="AK98" s="4">
        <v>704.3492521722228</v>
      </c>
      <c r="AL98" s="4">
        <v>861.23094773525304</v>
      </c>
      <c r="AM98" s="4"/>
      <c r="AP98" s="2">
        <v>0.875</v>
      </c>
      <c r="AQ98" s="4">
        <v>85.763928777437258</v>
      </c>
      <c r="AR98" s="4">
        <v>81.600634266441432</v>
      </c>
      <c r="AS98" s="4">
        <v>92.610925581135334</v>
      </c>
      <c r="AT98" s="4"/>
      <c r="AW98" s="2">
        <v>0.875</v>
      </c>
      <c r="AX98" s="4">
        <v>3.2899866122870201</v>
      </c>
      <c r="AY98" s="4">
        <v>1.3890232714830917</v>
      </c>
      <c r="AZ98" s="4">
        <v>1.4183983549034345</v>
      </c>
      <c r="BA98" s="4"/>
    </row>
    <row r="99" spans="27:53" x14ac:dyDescent="0.25">
      <c r="AA99">
        <f t="shared" ca="1" si="6"/>
        <v>654.23619097949609</v>
      </c>
      <c r="AB99">
        <f t="shared" ca="1" si="7"/>
        <v>6</v>
      </c>
      <c r="AC99">
        <f t="shared" si="8"/>
        <v>674.11809548974804</v>
      </c>
      <c r="AD99">
        <f t="shared" si="9"/>
        <v>-25.881904510251967</v>
      </c>
      <c r="AE99">
        <f t="shared" si="10"/>
        <v>-0.25881904510251968</v>
      </c>
      <c r="AF99">
        <f t="shared" si="11"/>
        <v>1425</v>
      </c>
      <c r="AI99" s="2">
        <v>0.91666666666666663</v>
      </c>
      <c r="AJ99" s="4">
        <v>564.51679583259295</v>
      </c>
      <c r="AK99" s="4">
        <v>684.8863535430047</v>
      </c>
      <c r="AL99" s="4">
        <v>810.32249381496797</v>
      </c>
      <c r="AM99" s="4"/>
      <c r="AP99" s="2">
        <v>0.91666666666666663</v>
      </c>
      <c r="AQ99" s="4">
        <v>85.196941165583667</v>
      </c>
      <c r="AR99" s="4">
        <v>81.6205609571888</v>
      </c>
      <c r="AS99" s="4">
        <v>93.320071386072016</v>
      </c>
      <c r="AT99" s="4"/>
      <c r="AW99" s="2">
        <v>0.91666666666666663</v>
      </c>
      <c r="AX99" s="4">
        <v>3.1501346370918313</v>
      </c>
      <c r="AY99" s="4">
        <v>0.53139563196837525</v>
      </c>
      <c r="AZ99" s="4">
        <v>0.95237936026370607</v>
      </c>
      <c r="BA99" s="4"/>
    </row>
    <row r="100" spans="27:53" x14ac:dyDescent="0.25">
      <c r="AA100">
        <f t="shared" ca="1" si="6"/>
        <v>708.99999999999977</v>
      </c>
      <c r="AB100">
        <f t="shared" ca="1" si="7"/>
        <v>9</v>
      </c>
      <c r="AC100">
        <f t="shared" si="8"/>
        <v>699.99999999999989</v>
      </c>
      <c r="AD100">
        <f t="shared" si="9"/>
        <v>-9.8011876392689601E-14</v>
      </c>
      <c r="AE100">
        <f t="shared" si="10"/>
        <v>-9.8011876392689601E-16</v>
      </c>
      <c r="AF100">
        <f t="shared" ref="AF100:AF163" si="12">AF99+15</f>
        <v>1440</v>
      </c>
      <c r="AI100" s="2">
        <v>0.95833333333333337</v>
      </c>
      <c r="AJ100" s="4">
        <v>522.88493790592941</v>
      </c>
      <c r="AK100" s="4">
        <v>620.91429357880531</v>
      </c>
      <c r="AL100" s="4">
        <v>719.32663796460668</v>
      </c>
      <c r="AM100" s="4"/>
      <c r="AP100" s="2">
        <v>0.95833333333333337</v>
      </c>
      <c r="AQ100" s="4">
        <v>85.272782980196908</v>
      </c>
      <c r="AR100" s="4">
        <v>82.225301539854925</v>
      </c>
      <c r="AS100" s="4">
        <v>94.102589627692566</v>
      </c>
      <c r="AT100" s="4"/>
      <c r="AW100" s="2">
        <v>0.95833333333333337</v>
      </c>
      <c r="AX100" s="4">
        <v>3.0598178995530976</v>
      </c>
      <c r="AY100" s="4">
        <v>1.0943413998535441</v>
      </c>
      <c r="AZ100" s="4">
        <v>1.1384772005444368</v>
      </c>
      <c r="BA100" s="4"/>
    </row>
    <row r="101" spans="27:53" x14ac:dyDescent="0.25">
      <c r="AA101">
        <f t="shared" ca="1" si="6"/>
        <v>744.76380902050414</v>
      </c>
      <c r="AB101">
        <f t="shared" ca="1" si="7"/>
        <v>-7</v>
      </c>
      <c r="AC101">
        <f t="shared" si="8"/>
        <v>725.88190451025207</v>
      </c>
      <c r="AD101">
        <f t="shared" si="9"/>
        <v>25.881904510252124</v>
      </c>
      <c r="AE101">
        <f t="shared" si="10"/>
        <v>0.25881904510252124</v>
      </c>
      <c r="AF101">
        <f t="shared" si="12"/>
        <v>1455</v>
      </c>
      <c r="AH101" s="1">
        <v>43470</v>
      </c>
      <c r="AI101" s="2">
        <v>0</v>
      </c>
      <c r="AJ101" s="4">
        <v>452.54912065572864</v>
      </c>
      <c r="AK101" s="4">
        <v>565.2578057257906</v>
      </c>
      <c r="AL101" s="4">
        <v>697.61484993193926</v>
      </c>
      <c r="AM101" s="4"/>
      <c r="AO101" s="1">
        <v>43470</v>
      </c>
      <c r="AP101" s="2">
        <v>0</v>
      </c>
      <c r="AQ101" s="4">
        <v>84.822558810876671</v>
      </c>
      <c r="AR101" s="4">
        <v>82.138712906606102</v>
      </c>
      <c r="AS101" s="4">
        <v>94.806892570484891</v>
      </c>
      <c r="AT101" s="4"/>
      <c r="AV101" s="1">
        <v>43470</v>
      </c>
      <c r="AW101" s="2">
        <v>0</v>
      </c>
      <c r="AX101" s="4">
        <v>2.9856988361631998</v>
      </c>
      <c r="AY101" s="4">
        <v>1.904409900455946</v>
      </c>
      <c r="AZ101" s="4">
        <v>0.34258849952177783</v>
      </c>
      <c r="BA101" s="4"/>
    </row>
    <row r="102" spans="27:53" x14ac:dyDescent="0.25">
      <c r="AA102">
        <f t="shared" ca="1" si="6"/>
        <v>794.99999999999977</v>
      </c>
      <c r="AB102">
        <f t="shared" ca="1" si="7"/>
        <v>-5</v>
      </c>
      <c r="AC102">
        <f t="shared" si="8"/>
        <v>749.99999999999989</v>
      </c>
      <c r="AD102">
        <f t="shared" si="9"/>
        <v>49.999999999999858</v>
      </c>
      <c r="AE102">
        <f t="shared" si="10"/>
        <v>0.49999999999999861</v>
      </c>
      <c r="AF102">
        <f t="shared" si="12"/>
        <v>1470</v>
      </c>
      <c r="AI102" s="2">
        <v>4.1666666666666664E-2</v>
      </c>
      <c r="AJ102" s="4">
        <v>456.04350114584906</v>
      </c>
      <c r="AK102" s="4">
        <v>515.51769590672177</v>
      </c>
      <c r="AL102" s="4">
        <v>630.59090612228374</v>
      </c>
      <c r="AM102" s="4"/>
      <c r="AP102" s="2">
        <v>4.1666666666666664E-2</v>
      </c>
      <c r="AQ102" s="4">
        <v>85.413386385218402</v>
      </c>
      <c r="AR102" s="4">
        <v>81.269323551901181</v>
      </c>
      <c r="AS102" s="4">
        <v>94.646925500403199</v>
      </c>
      <c r="AT102" s="4"/>
      <c r="AW102" s="2">
        <v>4.1666666666666664E-2</v>
      </c>
      <c r="AX102" s="4">
        <v>2.7029628091646711</v>
      </c>
      <c r="AY102" s="4">
        <v>2.2886581902625971</v>
      </c>
      <c r="AZ102" s="4">
        <v>1.2872877625790533</v>
      </c>
      <c r="BA102" s="4"/>
    </row>
    <row r="103" spans="27:53" x14ac:dyDescent="0.25">
      <c r="AA103">
        <f t="shared" ca="1" si="6"/>
        <v>850.42135623730951</v>
      </c>
      <c r="AB103">
        <f t="shared" ca="1" si="7"/>
        <v>9</v>
      </c>
      <c r="AC103">
        <f t="shared" si="8"/>
        <v>770.71067811865476</v>
      </c>
      <c r="AD103">
        <f t="shared" si="9"/>
        <v>70.710678118654741</v>
      </c>
      <c r="AE103">
        <f t="shared" si="10"/>
        <v>0.70710678118654746</v>
      </c>
      <c r="AF103">
        <f t="shared" si="12"/>
        <v>1485</v>
      </c>
      <c r="AI103" s="2">
        <v>8.3333333333333329E-2</v>
      </c>
      <c r="AJ103" s="4">
        <v>415.9979868428544</v>
      </c>
      <c r="AK103" s="4">
        <v>470.05271660488307</v>
      </c>
      <c r="AL103" s="4">
        <v>564.41929892653479</v>
      </c>
      <c r="AM103" s="4"/>
      <c r="AP103" s="2">
        <v>8.3333333333333329E-2</v>
      </c>
      <c r="AQ103" s="4">
        <v>85.689794045805769</v>
      </c>
      <c r="AR103" s="4">
        <v>81.607305221544365</v>
      </c>
      <c r="AS103" s="4">
        <v>95.426683129554718</v>
      </c>
      <c r="AT103" s="4"/>
      <c r="AW103" s="2">
        <v>8.3333333333333329E-2</v>
      </c>
      <c r="AX103" s="4">
        <v>2.6593435954321691</v>
      </c>
      <c r="AY103" s="4">
        <v>2.4575165872436173</v>
      </c>
      <c r="AZ103" s="4">
        <v>0.69512242613360553</v>
      </c>
      <c r="BA103" s="4"/>
    </row>
    <row r="104" spans="27:53" x14ac:dyDescent="0.25">
      <c r="AA104">
        <f t="shared" ca="1" si="6"/>
        <v>882.20508075688758</v>
      </c>
      <c r="AB104">
        <f t="shared" ca="1" si="7"/>
        <v>9</v>
      </c>
      <c r="AC104">
        <f t="shared" si="8"/>
        <v>786.60254037844379</v>
      </c>
      <c r="AD104">
        <f t="shared" si="9"/>
        <v>86.602540378443763</v>
      </c>
      <c r="AE104">
        <f t="shared" si="10"/>
        <v>0.8660254037844376</v>
      </c>
      <c r="AF104">
        <f t="shared" si="12"/>
        <v>1500</v>
      </c>
      <c r="AI104" s="2">
        <v>0.125</v>
      </c>
      <c r="AJ104" s="4">
        <v>328.2547543515816</v>
      </c>
      <c r="AK104" s="4">
        <v>446.75709072846718</v>
      </c>
      <c r="AL104" s="4">
        <v>572.54905386998712</v>
      </c>
      <c r="AM104" s="4"/>
      <c r="AP104" s="2">
        <v>0.125</v>
      </c>
      <c r="AQ104" s="4">
        <v>84.971045788943186</v>
      </c>
      <c r="AR104" s="4">
        <v>81.272433681539098</v>
      </c>
      <c r="AS104" s="4">
        <v>94.735807948666036</v>
      </c>
      <c r="AT104" s="4"/>
      <c r="AW104" s="2">
        <v>0.125</v>
      </c>
      <c r="AX104" s="4">
        <v>3.2824187961931655</v>
      </c>
      <c r="AY104" s="4">
        <v>1.9245700233506762</v>
      </c>
      <c r="AZ104" s="4">
        <v>1.6495875154705038</v>
      </c>
      <c r="BA104" s="4"/>
    </row>
    <row r="105" spans="27:53" x14ac:dyDescent="0.25">
      <c r="AA105">
        <f t="shared" ca="1" si="6"/>
        <v>899.18516525781365</v>
      </c>
      <c r="AB105">
        <f t="shared" ca="1" si="7"/>
        <v>6</v>
      </c>
      <c r="AC105">
        <f t="shared" si="8"/>
        <v>796.59258262890683</v>
      </c>
      <c r="AD105">
        <f t="shared" si="9"/>
        <v>96.592582628906811</v>
      </c>
      <c r="AE105">
        <f t="shared" si="10"/>
        <v>0.96592582628906809</v>
      </c>
      <c r="AF105">
        <f t="shared" si="12"/>
        <v>1515</v>
      </c>
      <c r="AI105" s="2">
        <v>0.16666666666666666</v>
      </c>
      <c r="AJ105" s="4">
        <v>314.99391100491295</v>
      </c>
      <c r="AK105" s="4">
        <v>405.2822904239012</v>
      </c>
      <c r="AL105" s="4">
        <v>569.46445421586043</v>
      </c>
      <c r="AM105" s="4"/>
      <c r="AP105" s="2">
        <v>0.16666666666666666</v>
      </c>
      <c r="AQ105" s="4">
        <v>84.664286585547856</v>
      </c>
      <c r="AR105" s="4">
        <v>82.107413830450739</v>
      </c>
      <c r="AS105" s="4">
        <v>94.184312446301391</v>
      </c>
      <c r="AT105" s="4"/>
      <c r="AW105" s="2">
        <v>0.16666666666666666</v>
      </c>
      <c r="AX105" s="4">
        <v>3.9000261282087934</v>
      </c>
      <c r="AY105" s="4">
        <v>2.0877169221187364</v>
      </c>
      <c r="AZ105" s="4">
        <v>1.8561029698665947</v>
      </c>
      <c r="BA105" s="4"/>
    </row>
    <row r="106" spans="27:53" x14ac:dyDescent="0.25">
      <c r="AA106">
        <f t="shared" ca="1" si="6"/>
        <v>900</v>
      </c>
      <c r="AB106">
        <f t="shared" ca="1" si="7"/>
        <v>0</v>
      </c>
      <c r="AC106">
        <f t="shared" si="8"/>
        <v>800</v>
      </c>
      <c r="AD106">
        <f t="shared" si="9"/>
        <v>100</v>
      </c>
      <c r="AE106">
        <f t="shared" si="10"/>
        <v>1</v>
      </c>
      <c r="AF106">
        <f t="shared" si="12"/>
        <v>1530</v>
      </c>
      <c r="AI106" s="2">
        <v>0.20833333333333334</v>
      </c>
      <c r="AJ106" s="4">
        <v>329.99275658380617</v>
      </c>
      <c r="AK106" s="4">
        <v>430.83623321009037</v>
      </c>
      <c r="AL106" s="4">
        <v>527.85608957164857</v>
      </c>
      <c r="AM106" s="4"/>
      <c r="AP106" s="2">
        <v>0.20833333333333334</v>
      </c>
      <c r="AQ106" s="4">
        <v>84.391560257198847</v>
      </c>
      <c r="AR106" s="4">
        <v>81.543990528528084</v>
      </c>
      <c r="AS106" s="4">
        <v>93.931144647875087</v>
      </c>
      <c r="AT106" s="4"/>
      <c r="AW106" s="2">
        <v>0.20833333333333334</v>
      </c>
      <c r="AX106" s="4">
        <v>3.0990641626554813</v>
      </c>
      <c r="AY106" s="4">
        <v>1.290376757002816</v>
      </c>
      <c r="AZ106" s="4">
        <v>1.6723088501387968</v>
      </c>
      <c r="BA106" s="4"/>
    </row>
    <row r="107" spans="27:53" x14ac:dyDescent="0.25">
      <c r="AA107">
        <f t="shared" ca="1" si="6"/>
        <v>894.18516525781365</v>
      </c>
      <c r="AB107">
        <f t="shared" ca="1" si="7"/>
        <v>1</v>
      </c>
      <c r="AC107">
        <f t="shared" si="8"/>
        <v>796.59258262890683</v>
      </c>
      <c r="AD107">
        <f t="shared" si="9"/>
        <v>96.592582628906868</v>
      </c>
      <c r="AE107">
        <f t="shared" si="10"/>
        <v>0.96592582628906865</v>
      </c>
      <c r="AF107">
        <f t="shared" si="12"/>
        <v>1545</v>
      </c>
      <c r="AI107" s="2">
        <v>0.25</v>
      </c>
      <c r="AJ107" s="4">
        <v>360.63158631428689</v>
      </c>
      <c r="AK107" s="4">
        <v>465.16689506505173</v>
      </c>
      <c r="AL107" s="4">
        <v>559.39134095461429</v>
      </c>
      <c r="AM107" s="4"/>
      <c r="AP107" s="2">
        <v>0.25</v>
      </c>
      <c r="AQ107" s="4">
        <v>84.792335118522743</v>
      </c>
      <c r="AR107" s="4">
        <v>80.646459292032091</v>
      </c>
      <c r="AS107" s="4">
        <v>94.580449641021048</v>
      </c>
      <c r="AT107" s="4"/>
      <c r="AW107" s="2">
        <v>0.25</v>
      </c>
      <c r="AX107" s="4">
        <v>2.4528281034277262</v>
      </c>
      <c r="AY107" s="4">
        <v>0.48487149386603257</v>
      </c>
      <c r="AZ107" s="4">
        <v>1.0644533171753099</v>
      </c>
      <c r="BA107" s="4"/>
    </row>
    <row r="108" spans="27:53" x14ac:dyDescent="0.25">
      <c r="AA108">
        <f t="shared" ca="1" si="6"/>
        <v>877.20508075688781</v>
      </c>
      <c r="AB108">
        <f t="shared" ca="1" si="7"/>
        <v>4</v>
      </c>
      <c r="AC108">
        <f t="shared" si="8"/>
        <v>786.6025403784439</v>
      </c>
      <c r="AD108">
        <f t="shared" si="9"/>
        <v>86.602540378443862</v>
      </c>
      <c r="AE108">
        <f t="shared" si="10"/>
        <v>0.8660254037844386</v>
      </c>
      <c r="AF108">
        <f t="shared" si="12"/>
        <v>1560</v>
      </c>
      <c r="AI108" s="2">
        <v>0.29166666666666669</v>
      </c>
      <c r="AJ108" s="4">
        <v>363.69917440704916</v>
      </c>
      <c r="AK108" s="4">
        <v>452.28138086624239</v>
      </c>
      <c r="AL108" s="4">
        <v>534.90328651538755</v>
      </c>
      <c r="AM108" s="4"/>
      <c r="AP108" s="2">
        <v>0.29166666666666669</v>
      </c>
      <c r="AQ108" s="4">
        <v>83.994692897390507</v>
      </c>
      <c r="AR108" s="4">
        <v>80.888941299048042</v>
      </c>
      <c r="AS108" s="4">
        <v>95.235951136874107</v>
      </c>
      <c r="AT108" s="4"/>
      <c r="AW108" s="2">
        <v>0.29166666666666669</v>
      </c>
      <c r="AX108" s="4">
        <v>1.8783142040504386</v>
      </c>
      <c r="AY108" s="4">
        <v>1.3699043696374225</v>
      </c>
      <c r="AZ108" s="4">
        <v>0.60034109404007263</v>
      </c>
      <c r="BA108" s="4"/>
    </row>
    <row r="109" spans="27:53" x14ac:dyDescent="0.25">
      <c r="AA109">
        <f t="shared" ca="1" si="6"/>
        <v>850.42135623730974</v>
      </c>
      <c r="AB109">
        <f t="shared" ca="1" si="7"/>
        <v>9</v>
      </c>
      <c r="AC109">
        <f t="shared" si="8"/>
        <v>770.71067811865487</v>
      </c>
      <c r="AD109">
        <f t="shared" si="9"/>
        <v>70.710678118654897</v>
      </c>
      <c r="AE109">
        <f t="shared" si="10"/>
        <v>0.70710678118654891</v>
      </c>
      <c r="AF109">
        <f t="shared" si="12"/>
        <v>1575</v>
      </c>
      <c r="AI109" s="2">
        <v>0.33333333333333331</v>
      </c>
      <c r="AJ109" s="4">
        <v>389.86905281337516</v>
      </c>
      <c r="AK109" s="4">
        <v>479.56807480676315</v>
      </c>
      <c r="AL109" s="4">
        <v>621.7429810793418</v>
      </c>
      <c r="AM109" s="4"/>
      <c r="AP109" s="2">
        <v>0.33333333333333331</v>
      </c>
      <c r="AQ109" s="4">
        <v>84.263520292667749</v>
      </c>
      <c r="AR109" s="4">
        <v>81.80014335861577</v>
      </c>
      <c r="AS109" s="4">
        <v>95.562674281157769</v>
      </c>
      <c r="AT109" s="4"/>
      <c r="AW109" s="2">
        <v>0.33333333333333331</v>
      </c>
      <c r="AX109" s="4">
        <v>1.9526498771185092</v>
      </c>
      <c r="AY109" s="4">
        <v>1.9335719459536931</v>
      </c>
      <c r="AZ109" s="4">
        <v>1.3487134876619444</v>
      </c>
      <c r="BA109" s="4"/>
    </row>
    <row r="110" spans="27:53" x14ac:dyDescent="0.25">
      <c r="AA110">
        <f t="shared" ca="1" si="6"/>
        <v>797</v>
      </c>
      <c r="AB110">
        <f t="shared" ca="1" si="7"/>
        <v>-3</v>
      </c>
      <c r="AC110">
        <f t="shared" si="8"/>
        <v>750</v>
      </c>
      <c r="AD110">
        <f t="shared" si="9"/>
        <v>50.000000000000043</v>
      </c>
      <c r="AE110">
        <f t="shared" si="10"/>
        <v>0.50000000000000044</v>
      </c>
      <c r="AF110">
        <f t="shared" si="12"/>
        <v>1590</v>
      </c>
      <c r="AI110" s="2">
        <v>0.375</v>
      </c>
      <c r="AJ110" s="4">
        <v>440.21481989441429</v>
      </c>
      <c r="AK110" s="4">
        <v>554.57461870907389</v>
      </c>
      <c r="AL110" s="4">
        <v>650.52254862708742</v>
      </c>
      <c r="AM110" s="4"/>
      <c r="AP110" s="2">
        <v>0.375</v>
      </c>
      <c r="AQ110" s="4">
        <v>83.845725178179549</v>
      </c>
      <c r="AR110" s="4">
        <v>80.852938774565416</v>
      </c>
      <c r="AS110" s="4">
        <v>95.058479492269157</v>
      </c>
      <c r="AT110" s="4"/>
      <c r="AW110" s="2">
        <v>0.375</v>
      </c>
      <c r="AX110" s="4">
        <v>2.546835261942654</v>
      </c>
      <c r="AY110" s="4">
        <v>2.3148409194696455</v>
      </c>
      <c r="AZ110" s="4">
        <v>0.54485457671305371</v>
      </c>
      <c r="BA110" s="4"/>
    </row>
    <row r="111" spans="27:53" x14ac:dyDescent="0.25">
      <c r="AA111">
        <f t="shared" ca="1" si="6"/>
        <v>751.76380902050391</v>
      </c>
      <c r="AB111">
        <f t="shared" ca="1" si="7"/>
        <v>0</v>
      </c>
      <c r="AC111">
        <f t="shared" si="8"/>
        <v>725.88190451025196</v>
      </c>
      <c r="AD111">
        <f t="shared" si="9"/>
        <v>25.881904510251978</v>
      </c>
      <c r="AE111">
        <f t="shared" si="10"/>
        <v>0.2588190451025198</v>
      </c>
      <c r="AF111">
        <f t="shared" si="12"/>
        <v>1605</v>
      </c>
      <c r="AI111" s="2">
        <v>0.41666666666666669</v>
      </c>
      <c r="AJ111" s="4">
        <v>476.89550442842148</v>
      </c>
      <c r="AK111" s="4">
        <v>610.99634719772303</v>
      </c>
      <c r="AL111" s="4">
        <v>673.00473839049323</v>
      </c>
      <c r="AM111" s="4"/>
      <c r="AP111" s="2">
        <v>0.41666666666666669</v>
      </c>
      <c r="AQ111" s="4">
        <v>84.570464265421009</v>
      </c>
      <c r="AR111" s="4">
        <v>80.946860456184567</v>
      </c>
      <c r="AS111" s="4">
        <v>95.460073133398922</v>
      </c>
      <c r="AT111" s="4"/>
      <c r="AW111" s="2">
        <v>0.41666666666666669</v>
      </c>
      <c r="AX111" s="4">
        <v>3.0628154827234746</v>
      </c>
      <c r="AY111" s="4">
        <v>1.3562617753684143</v>
      </c>
      <c r="AZ111" s="4">
        <v>0.61998815710920496</v>
      </c>
      <c r="BA111" s="4"/>
    </row>
    <row r="112" spans="27:53" x14ac:dyDescent="0.25">
      <c r="AA112">
        <f t="shared" ca="1" si="6"/>
        <v>699.00000000000023</v>
      </c>
      <c r="AB112">
        <f t="shared" ca="1" si="7"/>
        <v>-1</v>
      </c>
      <c r="AC112">
        <f t="shared" si="8"/>
        <v>700.00000000000011</v>
      </c>
      <c r="AD112">
        <f t="shared" si="9"/>
        <v>1.102633609417758E-13</v>
      </c>
      <c r="AE112">
        <f t="shared" si="10"/>
        <v>1.102633609417758E-15</v>
      </c>
      <c r="AF112">
        <f t="shared" si="12"/>
        <v>1620</v>
      </c>
      <c r="AI112" s="2">
        <v>0.45833333333333331</v>
      </c>
      <c r="AJ112" s="4">
        <v>518.03065381138435</v>
      </c>
      <c r="AK112" s="4">
        <v>654.66761061993691</v>
      </c>
      <c r="AL112" s="4">
        <v>722.54562726463325</v>
      </c>
      <c r="AM112" s="4"/>
      <c r="AP112" s="2">
        <v>0.45833333333333331</v>
      </c>
      <c r="AQ112" s="4">
        <v>83.931481994218231</v>
      </c>
      <c r="AR112" s="4">
        <v>81.654266231244847</v>
      </c>
      <c r="AS112" s="4">
        <v>96.307023477216376</v>
      </c>
      <c r="AT112" s="4"/>
      <c r="AW112" s="2">
        <v>0.45833333333333331</v>
      </c>
      <c r="AX112" s="4">
        <v>3.6609890779163807</v>
      </c>
      <c r="AY112" s="4">
        <v>1.5783006255110714</v>
      </c>
      <c r="AZ112" s="4">
        <v>1.4317311127159833</v>
      </c>
      <c r="BA112" s="4"/>
    </row>
    <row r="113" spans="27:53" x14ac:dyDescent="0.25">
      <c r="AA113">
        <f t="shared" ca="1" si="6"/>
        <v>640.23619097949586</v>
      </c>
      <c r="AB113">
        <f t="shared" ca="1" si="7"/>
        <v>-8</v>
      </c>
      <c r="AC113">
        <f t="shared" si="8"/>
        <v>674.11809548974793</v>
      </c>
      <c r="AD113">
        <f t="shared" si="9"/>
        <v>-25.881904510252113</v>
      </c>
      <c r="AE113">
        <f t="shared" si="10"/>
        <v>-0.25881904510252113</v>
      </c>
      <c r="AF113">
        <f t="shared" si="12"/>
        <v>1635</v>
      </c>
      <c r="AI113" s="2">
        <v>0.5</v>
      </c>
      <c r="AJ113" s="4">
        <v>603.95294164329562</v>
      </c>
      <c r="AK113" s="4">
        <v>706.56206889809141</v>
      </c>
      <c r="AL113" s="4">
        <v>818.6157056616953</v>
      </c>
      <c r="AM113" s="4"/>
      <c r="AP113" s="2">
        <v>0.5</v>
      </c>
      <c r="AQ113" s="4">
        <v>82.995027820107182</v>
      </c>
      <c r="AR113" s="4">
        <v>80.720319099253118</v>
      </c>
      <c r="AS113" s="4">
        <v>95.799199797811539</v>
      </c>
      <c r="AT113" s="4"/>
      <c r="AW113" s="2">
        <v>0.5</v>
      </c>
      <c r="AX113" s="4">
        <v>4.5355939164371799</v>
      </c>
      <c r="AY113" s="4">
        <v>0.73930629060739206</v>
      </c>
      <c r="AZ113" s="4">
        <v>1.1732341259766463</v>
      </c>
      <c r="BA113" s="4"/>
    </row>
    <row r="114" spans="27:53" x14ac:dyDescent="0.25">
      <c r="AA114">
        <f t="shared" ca="1" si="6"/>
        <v>606.00000000000023</v>
      </c>
      <c r="AB114">
        <f t="shared" ca="1" si="7"/>
        <v>6</v>
      </c>
      <c r="AC114">
        <f t="shared" si="8"/>
        <v>650.00000000000011</v>
      </c>
      <c r="AD114">
        <f t="shared" si="9"/>
        <v>-49.999999999999851</v>
      </c>
      <c r="AE114">
        <f t="shared" si="10"/>
        <v>-0.4999999999999985</v>
      </c>
      <c r="AF114">
        <f t="shared" si="12"/>
        <v>1650</v>
      </c>
      <c r="AI114" s="2">
        <v>0.54166666666666663</v>
      </c>
      <c r="AJ114" s="4">
        <v>647.64791946868695</v>
      </c>
      <c r="AK114" s="4">
        <v>701.46455557899367</v>
      </c>
      <c r="AL114" s="4">
        <v>858.49493627272682</v>
      </c>
      <c r="AM114" s="4"/>
      <c r="AP114" s="2">
        <v>0.54166666666666663</v>
      </c>
      <c r="AQ114" s="4">
        <v>83.221977702468337</v>
      </c>
      <c r="AR114" s="4">
        <v>80.96868769015903</v>
      </c>
      <c r="AS114" s="4">
        <v>94.858389678898774</v>
      </c>
      <c r="AT114" s="4"/>
      <c r="AW114" s="2">
        <v>0.54166666666666663</v>
      </c>
      <c r="AX114" s="4">
        <v>4.4593102088028216</v>
      </c>
      <c r="AY114" s="4">
        <v>1.361520038803981</v>
      </c>
      <c r="AZ114" s="4">
        <v>1.805411337350475</v>
      </c>
      <c r="BA114" s="4"/>
    </row>
    <row r="115" spans="27:53" x14ac:dyDescent="0.25">
      <c r="AA115">
        <f t="shared" ca="1" si="6"/>
        <v>548.57864376269049</v>
      </c>
      <c r="AB115">
        <f t="shared" ca="1" si="7"/>
        <v>-10</v>
      </c>
      <c r="AC115">
        <f t="shared" si="8"/>
        <v>629.28932188134524</v>
      </c>
      <c r="AD115">
        <f t="shared" si="9"/>
        <v>-70.710678118654741</v>
      </c>
      <c r="AE115">
        <f t="shared" si="10"/>
        <v>-0.70710678118654735</v>
      </c>
      <c r="AF115">
        <f t="shared" si="12"/>
        <v>1665</v>
      </c>
      <c r="AI115" s="2">
        <v>0.58333333333333337</v>
      </c>
      <c r="AJ115" s="4">
        <v>694.34795238444065</v>
      </c>
      <c r="AK115" s="4">
        <v>776.80794107740121</v>
      </c>
      <c r="AL115" s="4">
        <v>855.93987764173869</v>
      </c>
      <c r="AM115" s="4"/>
      <c r="AP115" s="2">
        <v>0.58333333333333337</v>
      </c>
      <c r="AQ115" s="4">
        <v>83.875935325969081</v>
      </c>
      <c r="AR115" s="4">
        <v>81.240977736501918</v>
      </c>
      <c r="AS115" s="4">
        <v>95.531900431104077</v>
      </c>
      <c r="AT115" s="4"/>
      <c r="AW115" s="2">
        <v>0.58333333333333337</v>
      </c>
      <c r="AX115" s="4">
        <v>5.3729317443609901</v>
      </c>
      <c r="AY115" s="4">
        <v>2.2947826335975048</v>
      </c>
      <c r="AZ115" s="4">
        <v>1.2953891123137931</v>
      </c>
      <c r="BA115" s="4"/>
    </row>
    <row r="116" spans="27:53" x14ac:dyDescent="0.25">
      <c r="AA116">
        <f t="shared" ca="1" si="6"/>
        <v>522.79491924311219</v>
      </c>
      <c r="AB116">
        <f t="shared" ca="1" si="7"/>
        <v>-4</v>
      </c>
      <c r="AC116">
        <f t="shared" si="8"/>
        <v>613.3974596215561</v>
      </c>
      <c r="AD116">
        <f t="shared" si="9"/>
        <v>-86.602540378443933</v>
      </c>
      <c r="AE116">
        <f t="shared" si="10"/>
        <v>-0.86602540378443926</v>
      </c>
      <c r="AF116">
        <f t="shared" si="12"/>
        <v>1680</v>
      </c>
      <c r="AI116" s="2">
        <v>0.625</v>
      </c>
      <c r="AJ116" s="4">
        <v>686.7208061282455</v>
      </c>
      <c r="AK116" s="4">
        <v>835.25514207689025</v>
      </c>
      <c r="AL116" s="4">
        <v>906.52186988277469</v>
      </c>
      <c r="AM116" s="4"/>
      <c r="AP116" s="2">
        <v>0.625</v>
      </c>
      <c r="AQ116" s="4">
        <v>83.798593906067069</v>
      </c>
      <c r="AR116" s="4">
        <v>81.202840620479193</v>
      </c>
      <c r="AS116" s="4">
        <v>94.835201240159705</v>
      </c>
      <c r="AT116" s="4"/>
      <c r="AW116" s="2">
        <v>0.625</v>
      </c>
      <c r="AX116" s="4">
        <v>5.3315555602214957</v>
      </c>
      <c r="AY116" s="4">
        <v>1.8014722783372703</v>
      </c>
      <c r="AZ116" s="4">
        <v>0.50270981172719431</v>
      </c>
      <c r="BA116" s="4"/>
    </row>
    <row r="117" spans="27:53" x14ac:dyDescent="0.25">
      <c r="AA117">
        <f t="shared" ca="1" si="6"/>
        <v>496.81483474218635</v>
      </c>
      <c r="AB117">
        <f t="shared" ca="1" si="7"/>
        <v>-10</v>
      </c>
      <c r="AC117">
        <f t="shared" si="8"/>
        <v>603.40741737109317</v>
      </c>
      <c r="AD117">
        <f t="shared" si="9"/>
        <v>-96.592582628906811</v>
      </c>
      <c r="AE117">
        <f t="shared" si="10"/>
        <v>-0.96592582628906809</v>
      </c>
      <c r="AF117">
        <f t="shared" si="12"/>
        <v>1695</v>
      </c>
      <c r="AI117" s="2">
        <v>0.66666666666666663</v>
      </c>
      <c r="AJ117" s="4">
        <v>724.16860693593912</v>
      </c>
      <c r="AK117" s="4">
        <v>821.65894859028413</v>
      </c>
      <c r="AL117" s="4">
        <v>924.01930951756719</v>
      </c>
      <c r="AM117" s="4"/>
      <c r="AP117" s="2">
        <v>0.66666666666666663</v>
      </c>
      <c r="AQ117" s="4">
        <v>83.328235197810116</v>
      </c>
      <c r="AR117" s="4">
        <v>81.732030543094467</v>
      </c>
      <c r="AS117" s="4">
        <v>94.856887959136742</v>
      </c>
      <c r="AT117" s="4"/>
      <c r="AW117" s="2">
        <v>0.66666666666666663</v>
      </c>
      <c r="AX117" s="4">
        <v>5.2325705556065429</v>
      </c>
      <c r="AY117" s="4">
        <v>1.9049601537203293</v>
      </c>
      <c r="AZ117" s="4">
        <v>0.59226039727117041</v>
      </c>
      <c r="BA117" s="4"/>
    </row>
    <row r="118" spans="27:53" x14ac:dyDescent="0.25">
      <c r="AA118">
        <f t="shared" ca="1" si="6"/>
        <v>504</v>
      </c>
      <c r="AB118">
        <f t="shared" ca="1" si="7"/>
        <v>4</v>
      </c>
      <c r="AC118">
        <f t="shared" si="8"/>
        <v>600</v>
      </c>
      <c r="AD118">
        <f t="shared" si="9"/>
        <v>-100</v>
      </c>
      <c r="AE118">
        <f t="shared" si="10"/>
        <v>-1</v>
      </c>
      <c r="AF118">
        <f t="shared" si="12"/>
        <v>1710</v>
      </c>
      <c r="AI118" s="2">
        <v>0.70833333333333337</v>
      </c>
      <c r="AJ118" s="4">
        <v>740.82532507989083</v>
      </c>
      <c r="AK118" s="4">
        <v>806.48225430592151</v>
      </c>
      <c r="AL118" s="4">
        <v>907.41092924127327</v>
      </c>
      <c r="AM118" s="4"/>
      <c r="AP118" s="2">
        <v>0.70833333333333337</v>
      </c>
      <c r="AQ118" s="4">
        <v>83.424904413151239</v>
      </c>
      <c r="AR118" s="4">
        <v>81.761888680372408</v>
      </c>
      <c r="AS118" s="4">
        <v>95.504562929476819</v>
      </c>
      <c r="AT118" s="4"/>
      <c r="AW118" s="2">
        <v>0.70833333333333337</v>
      </c>
      <c r="AX118" s="4">
        <v>4.8103785028417905</v>
      </c>
      <c r="AY118" s="4">
        <v>1.6473133687200932</v>
      </c>
      <c r="AZ118" s="4">
        <v>1.5838712471488938</v>
      </c>
      <c r="BA118" s="4"/>
    </row>
    <row r="119" spans="27:53" x14ac:dyDescent="0.25">
      <c r="AA119">
        <f t="shared" ca="1" si="6"/>
        <v>512.81483474218635</v>
      </c>
      <c r="AB119">
        <f t="shared" ca="1" si="7"/>
        <v>6</v>
      </c>
      <c r="AC119">
        <f t="shared" si="8"/>
        <v>603.40741737109317</v>
      </c>
      <c r="AD119">
        <f t="shared" si="9"/>
        <v>-96.592582628906868</v>
      </c>
      <c r="AE119">
        <f t="shared" si="10"/>
        <v>-0.96592582628906865</v>
      </c>
      <c r="AF119">
        <f t="shared" si="12"/>
        <v>1725</v>
      </c>
      <c r="AI119" s="2">
        <v>0.75</v>
      </c>
      <c r="AJ119" s="4">
        <v>717.83422234250565</v>
      </c>
      <c r="AK119" s="4">
        <v>812.16594998351093</v>
      </c>
      <c r="AL119" s="4">
        <v>894.98774125453224</v>
      </c>
      <c r="AM119" s="4"/>
      <c r="AP119" s="2">
        <v>0.75</v>
      </c>
      <c r="AQ119" s="4">
        <v>83.839233835490987</v>
      </c>
      <c r="AR119" s="4">
        <v>81.492578655218935</v>
      </c>
      <c r="AS119" s="4">
        <v>95.771977050773543</v>
      </c>
      <c r="AT119" s="4"/>
      <c r="AW119" s="2">
        <v>0.75</v>
      </c>
      <c r="AX119" s="4">
        <v>4.5903328956417599</v>
      </c>
      <c r="AY119" s="4">
        <v>1.7158099152901727</v>
      </c>
      <c r="AZ119" s="4">
        <v>2.1128413837463325</v>
      </c>
      <c r="BA119" s="4"/>
    </row>
    <row r="120" spans="27:53" x14ac:dyDescent="0.25">
      <c r="AA120">
        <f t="shared" ca="1" si="6"/>
        <v>520.79491924311219</v>
      </c>
      <c r="AB120">
        <f t="shared" ca="1" si="7"/>
        <v>-6</v>
      </c>
      <c r="AC120">
        <f t="shared" si="8"/>
        <v>613.3974596215561</v>
      </c>
      <c r="AD120">
        <f t="shared" si="9"/>
        <v>-86.602540378443862</v>
      </c>
      <c r="AE120">
        <f t="shared" si="10"/>
        <v>-0.8660254037844386</v>
      </c>
      <c r="AF120">
        <f t="shared" si="12"/>
        <v>1740</v>
      </c>
      <c r="AI120" s="2">
        <v>0.79166666666666663</v>
      </c>
      <c r="AJ120" s="4">
        <v>724.2831718759868</v>
      </c>
      <c r="AK120" s="4">
        <v>778.0558599901558</v>
      </c>
      <c r="AL120" s="4">
        <v>903.74030224941509</v>
      </c>
      <c r="AM120" s="4"/>
      <c r="AP120" s="2">
        <v>0.79166666666666663</v>
      </c>
      <c r="AQ120" s="4">
        <v>83.038101725751403</v>
      </c>
      <c r="AR120" s="4">
        <v>81.691827154661482</v>
      </c>
      <c r="AS120" s="4">
        <v>96.754986814562926</v>
      </c>
      <c r="AT120" s="4"/>
      <c r="AW120" s="2">
        <v>0.79166666666666663</v>
      </c>
      <c r="AX120" s="4">
        <v>4.4456127602348001</v>
      </c>
      <c r="AY120" s="4">
        <v>2.4068463333021701</v>
      </c>
      <c r="AZ120" s="4">
        <v>3.0473749216392965</v>
      </c>
      <c r="BA120" s="4"/>
    </row>
    <row r="121" spans="27:53" x14ac:dyDescent="0.25">
      <c r="AA121">
        <f t="shared" ca="1" si="6"/>
        <v>568.57864376269026</v>
      </c>
      <c r="AB121">
        <f t="shared" ca="1" si="7"/>
        <v>10</v>
      </c>
      <c r="AC121">
        <f t="shared" si="8"/>
        <v>629.28932188134513</v>
      </c>
      <c r="AD121">
        <f t="shared" si="9"/>
        <v>-70.710678118654897</v>
      </c>
      <c r="AE121">
        <f t="shared" si="10"/>
        <v>-0.70710678118654902</v>
      </c>
      <c r="AF121">
        <f t="shared" si="12"/>
        <v>1755</v>
      </c>
      <c r="AI121" s="2">
        <v>0.83333333333333337</v>
      </c>
      <c r="AJ121" s="4">
        <v>687.83409573852214</v>
      </c>
      <c r="AK121" s="4">
        <v>743.81793407954081</v>
      </c>
      <c r="AL121" s="4">
        <v>909.89424001392956</v>
      </c>
      <c r="AM121" s="4"/>
      <c r="AP121" s="2">
        <v>0.83333333333333337</v>
      </c>
      <c r="AQ121" s="4">
        <v>83.379410870776411</v>
      </c>
      <c r="AR121" s="4">
        <v>81.767911583722835</v>
      </c>
      <c r="AS121" s="4">
        <v>96.073254997276564</v>
      </c>
      <c r="AT121" s="4"/>
      <c r="AW121" s="2">
        <v>0.83333333333333337</v>
      </c>
      <c r="AX121" s="4">
        <v>4.4354279320564585</v>
      </c>
      <c r="AY121" s="4">
        <v>2.7354684822849551</v>
      </c>
      <c r="AZ121" s="4">
        <v>2.164172900194453</v>
      </c>
      <c r="BA121" s="4"/>
    </row>
    <row r="122" spans="27:53" x14ac:dyDescent="0.25">
      <c r="AA122">
        <f t="shared" ca="1" si="6"/>
        <v>601</v>
      </c>
      <c r="AB122">
        <f t="shared" ca="1" si="7"/>
        <v>1</v>
      </c>
      <c r="AC122">
        <f t="shared" si="8"/>
        <v>650</v>
      </c>
      <c r="AD122">
        <f t="shared" si="9"/>
        <v>-50.000000000000057</v>
      </c>
      <c r="AE122">
        <f t="shared" si="10"/>
        <v>-0.50000000000000056</v>
      </c>
      <c r="AF122">
        <f t="shared" si="12"/>
        <v>1770</v>
      </c>
      <c r="AI122" s="2">
        <v>0.875</v>
      </c>
      <c r="AJ122" s="4">
        <v>614.3421836149322</v>
      </c>
      <c r="AK122" s="4">
        <v>714.19023161052576</v>
      </c>
      <c r="AL122" s="4">
        <v>820.98382162136818</v>
      </c>
      <c r="AM122" s="4"/>
      <c r="AP122" s="2">
        <v>0.875</v>
      </c>
      <c r="AQ122" s="4">
        <v>83.773629638786758</v>
      </c>
      <c r="AR122" s="4">
        <v>81.604451172176283</v>
      </c>
      <c r="AS122" s="4">
        <v>95.903059306651016</v>
      </c>
      <c r="AT122" s="4"/>
      <c r="AW122" s="2">
        <v>0.875</v>
      </c>
      <c r="AX122" s="4">
        <v>3.8844218175205083</v>
      </c>
      <c r="AY122" s="4">
        <v>2.2010768746311631</v>
      </c>
      <c r="AZ122" s="4">
        <v>2.5236221286506724</v>
      </c>
      <c r="BA122" s="4"/>
    </row>
    <row r="123" spans="27:53" x14ac:dyDescent="0.25">
      <c r="AA123">
        <f t="shared" ca="1" si="6"/>
        <v>647.23619097949609</v>
      </c>
      <c r="AB123">
        <f t="shared" ca="1" si="7"/>
        <v>-1</v>
      </c>
      <c r="AC123">
        <f t="shared" si="8"/>
        <v>674.11809548974804</v>
      </c>
      <c r="AD123">
        <f t="shared" si="9"/>
        <v>-25.881904510251992</v>
      </c>
      <c r="AE123">
        <f t="shared" si="10"/>
        <v>-0.25881904510251991</v>
      </c>
      <c r="AF123">
        <f t="shared" si="12"/>
        <v>1785</v>
      </c>
      <c r="AI123" s="2">
        <v>0.91666666666666663</v>
      </c>
      <c r="AJ123" s="4">
        <v>551.47344960529233</v>
      </c>
      <c r="AK123" s="4">
        <v>711.85812119967693</v>
      </c>
      <c r="AL123" s="4">
        <v>818.28674871570468</v>
      </c>
      <c r="AM123" s="4"/>
      <c r="AP123" s="2">
        <v>0.91666666666666663</v>
      </c>
      <c r="AQ123" s="4">
        <v>83.018380384242121</v>
      </c>
      <c r="AR123" s="4">
        <v>81.092931242462839</v>
      </c>
      <c r="AS123" s="4">
        <v>96.327602630078246</v>
      </c>
      <c r="AT123" s="4"/>
      <c r="AW123" s="2">
        <v>0.91666666666666663</v>
      </c>
      <c r="AX123" s="4">
        <v>3.9412988040354251</v>
      </c>
      <c r="AY123" s="4">
        <v>2.6599360042044307</v>
      </c>
      <c r="AZ123" s="4">
        <v>3.1574330027429109</v>
      </c>
      <c r="BA123" s="4"/>
    </row>
    <row r="124" spans="27:53" x14ac:dyDescent="0.25">
      <c r="AA124">
        <f t="shared" ca="1" si="6"/>
        <v>708.99999999999977</v>
      </c>
      <c r="AB124">
        <f t="shared" ca="1" si="7"/>
        <v>9</v>
      </c>
      <c r="AC124">
        <f t="shared" si="8"/>
        <v>699.99999999999989</v>
      </c>
      <c r="AD124">
        <f t="shared" si="9"/>
        <v>-1.22514845490862E-13</v>
      </c>
      <c r="AE124">
        <f t="shared" si="10"/>
        <v>-1.22514845490862E-15</v>
      </c>
      <c r="AF124">
        <f t="shared" si="12"/>
        <v>1800</v>
      </c>
      <c r="AI124" s="2">
        <v>0.95833333333333337</v>
      </c>
      <c r="AJ124" s="4">
        <v>558.42509301023472</v>
      </c>
      <c r="AK124" s="4">
        <v>630.03438785164212</v>
      </c>
      <c r="AL124" s="4">
        <v>738.96406691114282</v>
      </c>
      <c r="AM124" s="4"/>
      <c r="AP124" s="2">
        <v>0.95833333333333337</v>
      </c>
      <c r="AQ124" s="4">
        <v>83.949369594762388</v>
      </c>
      <c r="AR124" s="4">
        <v>81.465273621373555</v>
      </c>
      <c r="AS124" s="4">
        <v>96.622221781545221</v>
      </c>
      <c r="AT124" s="4"/>
      <c r="AW124" s="2">
        <v>0.95833333333333337</v>
      </c>
      <c r="AX124" s="4">
        <v>3.644708748892509</v>
      </c>
      <c r="AY124" s="4">
        <v>1.6945840878261236</v>
      </c>
      <c r="AZ124" s="4">
        <v>4.0132073121137504</v>
      </c>
      <c r="BA124" s="4"/>
    </row>
    <row r="125" spans="27:53" x14ac:dyDescent="0.25">
      <c r="AA125">
        <f t="shared" ca="1" si="6"/>
        <v>758.76380902050414</v>
      </c>
      <c r="AB125">
        <f t="shared" ca="1" si="7"/>
        <v>7</v>
      </c>
      <c r="AC125">
        <f t="shared" si="8"/>
        <v>725.88190451025207</v>
      </c>
      <c r="AD125">
        <f t="shared" si="9"/>
        <v>25.881904510252102</v>
      </c>
      <c r="AE125">
        <f t="shared" si="10"/>
        <v>0.25881904510252102</v>
      </c>
      <c r="AF125">
        <f t="shared" si="12"/>
        <v>1815</v>
      </c>
      <c r="AH125" s="1">
        <v>43471</v>
      </c>
      <c r="AI125" s="2">
        <v>0</v>
      </c>
      <c r="AJ125" s="4">
        <v>487.74150182724321</v>
      </c>
      <c r="AK125" s="4">
        <v>559.56389156242949</v>
      </c>
      <c r="AL125" s="4">
        <v>692.31108606620228</v>
      </c>
      <c r="AM125" s="4"/>
      <c r="AO125" s="1">
        <v>43471</v>
      </c>
      <c r="AP125" s="2">
        <v>0</v>
      </c>
      <c r="AQ125" s="4">
        <v>84.260073751620425</v>
      </c>
      <c r="AR125" s="4">
        <v>81.606885661303693</v>
      </c>
      <c r="AS125" s="4">
        <v>96.695528816236489</v>
      </c>
      <c r="AT125" s="4"/>
      <c r="AV125" s="1">
        <v>43471</v>
      </c>
      <c r="AW125" s="2">
        <v>0</v>
      </c>
      <c r="AX125" s="4">
        <v>2.6829464493495676</v>
      </c>
      <c r="AY125" s="4">
        <v>2.2375301870262287</v>
      </c>
      <c r="AZ125" s="4">
        <v>4.4774905885571217</v>
      </c>
      <c r="BA125" s="4"/>
    </row>
    <row r="126" spans="27:53" x14ac:dyDescent="0.25">
      <c r="AA126">
        <f t="shared" ca="1" si="6"/>
        <v>798.99999999999977</v>
      </c>
      <c r="AB126">
        <f t="shared" ca="1" si="7"/>
        <v>-1</v>
      </c>
      <c r="AC126">
        <f t="shared" si="8"/>
        <v>749.99999999999989</v>
      </c>
      <c r="AD126">
        <f t="shared" si="9"/>
        <v>49.999999999999837</v>
      </c>
      <c r="AE126">
        <f t="shared" si="10"/>
        <v>0.49999999999999839</v>
      </c>
      <c r="AF126">
        <f t="shared" si="12"/>
        <v>1830</v>
      </c>
      <c r="AI126" s="2">
        <v>4.1666666666666664E-2</v>
      </c>
      <c r="AJ126" s="4">
        <v>401.09905089162243</v>
      </c>
      <c r="AK126" s="4">
        <v>517.18752859281165</v>
      </c>
      <c r="AL126" s="4">
        <v>646.96296882152365</v>
      </c>
      <c r="AM126" s="4"/>
      <c r="AP126" s="2">
        <v>4.1666666666666664E-2</v>
      </c>
      <c r="AQ126" s="4">
        <v>83.30541029612327</v>
      </c>
      <c r="AR126" s="4">
        <v>80.901959772107986</v>
      </c>
      <c r="AS126" s="4">
        <v>97.49498097369613</v>
      </c>
      <c r="AT126" s="4"/>
      <c r="AW126" s="2">
        <v>4.1666666666666664E-2</v>
      </c>
      <c r="AX126" s="4">
        <v>2.1812678085653645</v>
      </c>
      <c r="AY126" s="4">
        <v>1.7143095216941178</v>
      </c>
      <c r="AZ126" s="4">
        <v>4.8961953711567983</v>
      </c>
      <c r="BA126" s="4"/>
    </row>
    <row r="127" spans="27:53" x14ac:dyDescent="0.25">
      <c r="AA127">
        <f t="shared" ca="1" si="6"/>
        <v>850.42135623730906</v>
      </c>
      <c r="AB127">
        <f t="shared" ca="1" si="7"/>
        <v>9</v>
      </c>
      <c r="AC127">
        <f t="shared" si="8"/>
        <v>770.71067811865453</v>
      </c>
      <c r="AD127">
        <f t="shared" si="9"/>
        <v>70.710678118654485</v>
      </c>
      <c r="AE127">
        <f t="shared" si="10"/>
        <v>0.7071067811865448</v>
      </c>
      <c r="AF127">
        <f t="shared" si="12"/>
        <v>1845</v>
      </c>
      <c r="AI127" s="2">
        <v>8.3333333333333329E-2</v>
      </c>
      <c r="AJ127" s="4">
        <v>378.89955148079684</v>
      </c>
      <c r="AK127" s="4">
        <v>467.35593898043822</v>
      </c>
      <c r="AL127" s="4">
        <v>609.7019806387641</v>
      </c>
      <c r="AM127" s="4"/>
      <c r="AP127" s="2">
        <v>8.3333333333333329E-2</v>
      </c>
      <c r="AQ127" s="4">
        <v>82.894092665778842</v>
      </c>
      <c r="AR127" s="4">
        <v>81.179282497982371</v>
      </c>
      <c r="AS127" s="4">
        <v>96.591888894263818</v>
      </c>
      <c r="AT127" s="4"/>
      <c r="AW127" s="2">
        <v>8.3333333333333329E-2</v>
      </c>
      <c r="AX127" s="4">
        <v>2.661217184365503</v>
      </c>
      <c r="AY127" s="4">
        <v>2.0413188952126031</v>
      </c>
      <c r="AZ127" s="4">
        <v>5.4838132313416157</v>
      </c>
      <c r="BA127" s="4"/>
    </row>
    <row r="128" spans="27:53" x14ac:dyDescent="0.25">
      <c r="AA128">
        <f t="shared" ca="1" si="6"/>
        <v>879.20508075688758</v>
      </c>
      <c r="AB128">
        <f t="shared" ca="1" si="7"/>
        <v>6</v>
      </c>
      <c r="AC128">
        <f t="shared" si="8"/>
        <v>786.60254037844379</v>
      </c>
      <c r="AD128">
        <f t="shared" si="9"/>
        <v>86.602540378443734</v>
      </c>
      <c r="AE128">
        <f t="shared" si="10"/>
        <v>0.86602540378443738</v>
      </c>
      <c r="AF128">
        <f t="shared" si="12"/>
        <v>1860</v>
      </c>
      <c r="AI128" s="2">
        <v>0.125</v>
      </c>
      <c r="AJ128" s="4">
        <v>337.44798560301479</v>
      </c>
      <c r="AK128" s="4">
        <v>476.76828555697409</v>
      </c>
      <c r="AL128" s="4">
        <v>558.09148504924713</v>
      </c>
      <c r="AM128" s="4"/>
      <c r="AP128" s="2">
        <v>0.125</v>
      </c>
      <c r="AQ128" s="4">
        <v>82.074188435108425</v>
      </c>
      <c r="AR128" s="4">
        <v>81.620426161155152</v>
      </c>
      <c r="AS128" s="4">
        <v>96.400149514330678</v>
      </c>
      <c r="AT128" s="4"/>
      <c r="AW128" s="2">
        <v>0.125</v>
      </c>
      <c r="AX128" s="4">
        <v>2.9823008679358822</v>
      </c>
      <c r="AY128" s="4">
        <v>2.9988518613147495</v>
      </c>
      <c r="AZ128" s="4">
        <v>4.7010558215623828</v>
      </c>
      <c r="BA128" s="4"/>
    </row>
    <row r="129" spans="27:53" x14ac:dyDescent="0.25">
      <c r="AA129">
        <f t="shared" ca="1" si="6"/>
        <v>902.18516525781365</v>
      </c>
      <c r="AB129">
        <f t="shared" ca="1" si="7"/>
        <v>9</v>
      </c>
      <c r="AC129">
        <f t="shared" si="8"/>
        <v>796.59258262890683</v>
      </c>
      <c r="AD129">
        <f t="shared" si="9"/>
        <v>96.592582628906797</v>
      </c>
      <c r="AE129">
        <f t="shared" si="10"/>
        <v>0.96592582628906798</v>
      </c>
      <c r="AF129">
        <f t="shared" si="12"/>
        <v>1875</v>
      </c>
      <c r="AI129" s="2">
        <v>0.16666666666666666</v>
      </c>
      <c r="AJ129" s="4">
        <v>315.84433512128811</v>
      </c>
      <c r="AK129" s="4">
        <v>404.76800888910026</v>
      </c>
      <c r="AL129" s="4">
        <v>560.19187965050457</v>
      </c>
      <c r="AM129" s="4"/>
      <c r="AP129" s="2">
        <v>0.16666666666666666</v>
      </c>
      <c r="AQ129" s="4">
        <v>83.066781302740068</v>
      </c>
      <c r="AR129" s="4">
        <v>81.848212170427374</v>
      </c>
      <c r="AS129" s="4">
        <v>96.893758771705578</v>
      </c>
      <c r="AT129" s="4"/>
      <c r="AW129" s="2">
        <v>0.16666666666666666</v>
      </c>
      <c r="AX129" s="4">
        <v>1.9969740966176479</v>
      </c>
      <c r="AY129" s="4">
        <v>3.3345091264789111</v>
      </c>
      <c r="AZ129" s="4">
        <v>5.5664032361585898</v>
      </c>
      <c r="BA129" s="4"/>
    </row>
    <row r="130" spans="27:53" x14ac:dyDescent="0.25">
      <c r="AA130">
        <f t="shared" ca="1" si="6"/>
        <v>895</v>
      </c>
      <c r="AB130">
        <f t="shared" ca="1" si="7"/>
        <v>-5</v>
      </c>
      <c r="AC130">
        <f t="shared" si="8"/>
        <v>800</v>
      </c>
      <c r="AD130">
        <f t="shared" si="9"/>
        <v>100</v>
      </c>
      <c r="AE130">
        <f t="shared" si="10"/>
        <v>1</v>
      </c>
      <c r="AF130">
        <f t="shared" si="12"/>
        <v>1890</v>
      </c>
      <c r="AI130" s="2">
        <v>0.20833333333333334</v>
      </c>
      <c r="AJ130" s="4">
        <v>337.03591343954417</v>
      </c>
      <c r="AK130" s="4">
        <v>428.30081551977679</v>
      </c>
      <c r="AL130" s="4">
        <v>559.20805112358846</v>
      </c>
      <c r="AM130" s="4"/>
      <c r="AP130" s="2">
        <v>0.20833333333333334</v>
      </c>
      <c r="AQ130" s="4">
        <v>82.913702863763177</v>
      </c>
      <c r="AR130" s="4">
        <v>82.135221473885778</v>
      </c>
      <c r="AS130" s="4">
        <v>97.340575003275291</v>
      </c>
      <c r="AT130" s="4"/>
      <c r="AW130" s="2">
        <v>0.20833333333333334</v>
      </c>
      <c r="AX130" s="4">
        <v>2.3931813705569249</v>
      </c>
      <c r="AY130" s="4">
        <v>2.9235159085122362</v>
      </c>
      <c r="AZ130" s="4">
        <v>5.2380364301047511</v>
      </c>
      <c r="BA130" s="4"/>
    </row>
    <row r="131" spans="27:53" x14ac:dyDescent="0.25">
      <c r="AA131">
        <f t="shared" ca="1" si="6"/>
        <v>887.18516525781342</v>
      </c>
      <c r="AB131">
        <f t="shared" ca="1" si="7"/>
        <v>-6</v>
      </c>
      <c r="AC131">
        <f t="shared" si="8"/>
        <v>796.59258262890671</v>
      </c>
      <c r="AD131">
        <f t="shared" si="9"/>
        <v>96.592582628906769</v>
      </c>
      <c r="AE131">
        <f t="shared" si="10"/>
        <v>0.96592582628906776</v>
      </c>
      <c r="AF131">
        <f t="shared" si="12"/>
        <v>1905</v>
      </c>
      <c r="AI131" s="2">
        <v>0.25</v>
      </c>
      <c r="AJ131" s="4">
        <v>343.74275303314693</v>
      </c>
      <c r="AK131" s="4">
        <v>411.30603108580073</v>
      </c>
      <c r="AL131" s="4">
        <v>565.53685438294531</v>
      </c>
      <c r="AM131" s="4"/>
      <c r="AP131" s="2">
        <v>0.25</v>
      </c>
      <c r="AQ131" s="4">
        <v>83.320849122156815</v>
      </c>
      <c r="AR131" s="4">
        <v>82.607086961080725</v>
      </c>
      <c r="AS131" s="4">
        <v>96.999714049610333</v>
      </c>
      <c r="AT131" s="4"/>
      <c r="AW131" s="2">
        <v>0.25</v>
      </c>
      <c r="AX131" s="4">
        <v>2.1481731898639138</v>
      </c>
      <c r="AY131" s="4">
        <v>2.4497373974872518</v>
      </c>
      <c r="AZ131" s="4">
        <v>4.8931962500610187</v>
      </c>
      <c r="BA131" s="4"/>
    </row>
    <row r="132" spans="27:53" x14ac:dyDescent="0.25">
      <c r="AA132">
        <f t="shared" ca="1" si="6"/>
        <v>872.20508075688804</v>
      </c>
      <c r="AB132">
        <f t="shared" ca="1" si="7"/>
        <v>-1</v>
      </c>
      <c r="AC132">
        <f t="shared" si="8"/>
        <v>786.60254037844402</v>
      </c>
      <c r="AD132">
        <f t="shared" si="9"/>
        <v>86.602540378444047</v>
      </c>
      <c r="AE132">
        <f t="shared" si="10"/>
        <v>0.86602540378444048</v>
      </c>
      <c r="AF132">
        <f t="shared" si="12"/>
        <v>1920</v>
      </c>
      <c r="AI132" s="2">
        <v>0.29166666666666669</v>
      </c>
      <c r="AJ132" s="4">
        <v>365.68750271590989</v>
      </c>
      <c r="AK132" s="4">
        <v>470.14719418179624</v>
      </c>
      <c r="AL132" s="4">
        <v>563.99405180220026</v>
      </c>
      <c r="AM132" s="4"/>
      <c r="AP132" s="2">
        <v>0.29166666666666669</v>
      </c>
      <c r="AQ132" s="4">
        <v>82.702807070389113</v>
      </c>
      <c r="AR132" s="4">
        <v>81.838667516894802</v>
      </c>
      <c r="AS132" s="4">
        <v>97.703720578874524</v>
      </c>
      <c r="AT132" s="4"/>
      <c r="AW132" s="2">
        <v>0.29166666666666669</v>
      </c>
      <c r="AX132" s="4">
        <v>3.0131948408826719</v>
      </c>
      <c r="AY132" s="4">
        <v>2.6328406019833137</v>
      </c>
      <c r="AZ132" s="4">
        <v>4.0310405257630988</v>
      </c>
      <c r="BA132" s="4"/>
    </row>
    <row r="133" spans="27:53" x14ac:dyDescent="0.25">
      <c r="AA133">
        <f t="shared" ref="AA133:AA171" ca="1" si="13">AB133+AC133+AD133</f>
        <v>838.42135623730974</v>
      </c>
      <c r="AB133">
        <f t="shared" ref="AB133:AB171" ca="1" si="14">RANDBETWEEN(-10,10)</f>
        <v>-3</v>
      </c>
      <c r="AC133">
        <f t="shared" ref="AC133:AC171" si="15">AD133+700</f>
        <v>770.71067811865487</v>
      </c>
      <c r="AD133">
        <f t="shared" ref="AD133:AD171" si="16">100*AE133</f>
        <v>70.710678118654911</v>
      </c>
      <c r="AE133">
        <f t="shared" ref="AE133:AE171" si="17">SIN(RADIANS(AF133))</f>
        <v>0.70710678118654913</v>
      </c>
      <c r="AF133">
        <f t="shared" si="12"/>
        <v>1935</v>
      </c>
      <c r="AI133" s="2">
        <v>0.33333333333333331</v>
      </c>
      <c r="AJ133" s="4">
        <v>394.37811087076858</v>
      </c>
      <c r="AK133" s="4">
        <v>473.55590059873776</v>
      </c>
      <c r="AL133" s="4">
        <v>608.51668136817693</v>
      </c>
      <c r="AM133" s="4"/>
      <c r="AP133" s="2">
        <v>0.33333333333333331</v>
      </c>
      <c r="AQ133" s="4">
        <v>82.078473255809683</v>
      </c>
      <c r="AR133" s="4">
        <v>80.86882650147885</v>
      </c>
      <c r="AS133" s="4">
        <v>97.562805184458639</v>
      </c>
      <c r="AT133" s="4"/>
      <c r="AW133" s="2">
        <v>0.33333333333333331</v>
      </c>
      <c r="AX133" s="4">
        <v>2.1405510457972641</v>
      </c>
      <c r="AY133" s="4">
        <v>3.5009412949330869</v>
      </c>
      <c r="AZ133" s="4">
        <v>4.7726933106328264</v>
      </c>
      <c r="BA133" s="4"/>
    </row>
    <row r="134" spans="27:53" x14ac:dyDescent="0.25">
      <c r="AA134">
        <f t="shared" ca="1" si="13"/>
        <v>802.00000000000023</v>
      </c>
      <c r="AB134">
        <f t="shared" ca="1" si="14"/>
        <v>2</v>
      </c>
      <c r="AC134">
        <f t="shared" si="15"/>
        <v>750.00000000000011</v>
      </c>
      <c r="AD134">
        <f t="shared" si="16"/>
        <v>50.000000000000064</v>
      </c>
      <c r="AE134">
        <f t="shared" si="17"/>
        <v>0.50000000000000067</v>
      </c>
      <c r="AF134">
        <f t="shared" si="12"/>
        <v>1950</v>
      </c>
      <c r="AI134" s="2">
        <v>0.375</v>
      </c>
      <c r="AJ134" s="4">
        <v>417.27606755598373</v>
      </c>
      <c r="AK134" s="4">
        <v>523.35937676920878</v>
      </c>
      <c r="AL134" s="4">
        <v>632.35731098465226</v>
      </c>
      <c r="AM134" s="4"/>
      <c r="AP134" s="2">
        <v>0.375</v>
      </c>
      <c r="AQ134" s="4">
        <v>82.686939535897608</v>
      </c>
      <c r="AR134" s="4">
        <v>81.331444185026371</v>
      </c>
      <c r="AS134" s="4">
        <v>97.30814705918462</v>
      </c>
      <c r="AT134" s="4"/>
      <c r="AW134" s="2">
        <v>0.375</v>
      </c>
      <c r="AX134" s="4">
        <v>1.7215741144712962</v>
      </c>
      <c r="AY134" s="4">
        <v>4.497972849731239</v>
      </c>
      <c r="AZ134" s="4">
        <v>4.2696060330986487</v>
      </c>
      <c r="BA134" s="4"/>
    </row>
    <row r="135" spans="27:53" x14ac:dyDescent="0.25">
      <c r="AA135">
        <f t="shared" ca="1" si="13"/>
        <v>741.76380902050391</v>
      </c>
      <c r="AB135">
        <f t="shared" ca="1" si="14"/>
        <v>-10</v>
      </c>
      <c r="AC135">
        <f t="shared" si="15"/>
        <v>725.88190451025196</v>
      </c>
      <c r="AD135">
        <f t="shared" si="16"/>
        <v>25.881904510252006</v>
      </c>
      <c r="AE135">
        <f t="shared" si="17"/>
        <v>0.25881904510252007</v>
      </c>
      <c r="AF135">
        <f t="shared" si="12"/>
        <v>1965</v>
      </c>
      <c r="AI135" s="2">
        <v>0.41666666666666669</v>
      </c>
      <c r="AJ135" s="4">
        <v>456.1362654671762</v>
      </c>
      <c r="AK135" s="4">
        <v>592.16870654327511</v>
      </c>
      <c r="AL135" s="4">
        <v>698.96288520971325</v>
      </c>
      <c r="AM135" s="4"/>
      <c r="AP135" s="2">
        <v>0.41666666666666669</v>
      </c>
      <c r="AQ135" s="4">
        <v>81.778942449822566</v>
      </c>
      <c r="AR135" s="4">
        <v>80.579265474238611</v>
      </c>
      <c r="AS135" s="4">
        <v>97.260438004794281</v>
      </c>
      <c r="AT135" s="4"/>
      <c r="AW135" s="2">
        <v>0.41666666666666669</v>
      </c>
      <c r="AX135" s="4">
        <v>1.6452432687394927</v>
      </c>
      <c r="AY135" s="4">
        <v>4.3163218149709861</v>
      </c>
      <c r="AZ135" s="4">
        <v>4.5457447152766886</v>
      </c>
      <c r="BA135" s="4"/>
    </row>
    <row r="136" spans="27:53" x14ac:dyDescent="0.25">
      <c r="AA136">
        <f t="shared" ca="1" si="13"/>
        <v>701.99999999999955</v>
      </c>
      <c r="AB136">
        <f t="shared" ca="1" si="14"/>
        <v>2</v>
      </c>
      <c r="AC136">
        <f t="shared" si="15"/>
        <v>699.99999999999977</v>
      </c>
      <c r="AD136">
        <f t="shared" si="16"/>
        <v>-2.2050503784010189E-13</v>
      </c>
      <c r="AE136">
        <f t="shared" si="17"/>
        <v>-2.2050503784010189E-15</v>
      </c>
      <c r="AF136">
        <f t="shared" si="12"/>
        <v>1980</v>
      </c>
      <c r="AI136" s="2">
        <v>0.45833333333333331</v>
      </c>
      <c r="AJ136" s="4">
        <v>516.84992804392186</v>
      </c>
      <c r="AK136" s="4">
        <v>601.05461145188929</v>
      </c>
      <c r="AL136" s="4">
        <v>760.40939644469029</v>
      </c>
      <c r="AM136" s="4"/>
      <c r="AP136" s="2">
        <v>0.45833333333333331</v>
      </c>
      <c r="AQ136" s="4">
        <v>82.40050033936906</v>
      </c>
      <c r="AR136" s="4">
        <v>80.894131043730638</v>
      </c>
      <c r="AS136" s="4">
        <v>97.372082517518933</v>
      </c>
      <c r="AT136" s="4"/>
      <c r="AW136" s="2">
        <v>0.45833333333333331</v>
      </c>
      <c r="AX136" s="4">
        <v>2.2017548863715781</v>
      </c>
      <c r="AY136" s="4">
        <v>4.3143585040424943</v>
      </c>
      <c r="AZ136" s="4">
        <v>4.5188680822188907</v>
      </c>
      <c r="BA136" s="4"/>
    </row>
    <row r="137" spans="27:53" x14ac:dyDescent="0.25">
      <c r="AA137">
        <f t="shared" ca="1" si="13"/>
        <v>652.23619097949654</v>
      </c>
      <c r="AB137">
        <f t="shared" ca="1" si="14"/>
        <v>4</v>
      </c>
      <c r="AC137">
        <f t="shared" si="15"/>
        <v>674.11809548974827</v>
      </c>
      <c r="AD137">
        <f t="shared" si="16"/>
        <v>-25.881904510251747</v>
      </c>
      <c r="AE137">
        <f t="shared" si="17"/>
        <v>-0.25881904510251746</v>
      </c>
      <c r="AF137">
        <f t="shared" si="12"/>
        <v>1995</v>
      </c>
      <c r="AI137" s="2">
        <v>0.5</v>
      </c>
      <c r="AJ137" s="4">
        <v>583.61838227024737</v>
      </c>
      <c r="AK137" s="4">
        <v>701.36508014208061</v>
      </c>
      <c r="AL137" s="4">
        <v>796.23572601149885</v>
      </c>
      <c r="AM137" s="4"/>
      <c r="AP137" s="2">
        <v>0.5</v>
      </c>
      <c r="AQ137" s="4">
        <v>83.356093234212636</v>
      </c>
      <c r="AR137" s="4">
        <v>81.568548954114192</v>
      </c>
      <c r="AS137" s="4">
        <v>96.490788754815455</v>
      </c>
      <c r="AT137" s="4"/>
      <c r="AW137" s="2">
        <v>0.5</v>
      </c>
      <c r="AX137" s="4">
        <v>3.0459725952864627</v>
      </c>
      <c r="AY137" s="4">
        <v>4.7511988576421587</v>
      </c>
      <c r="AZ137" s="4">
        <v>3.8727841559172669</v>
      </c>
      <c r="BA137" s="4"/>
    </row>
    <row r="138" spans="27:53" x14ac:dyDescent="0.25">
      <c r="AA138">
        <f t="shared" ca="1" si="13"/>
        <v>608.00000000000045</v>
      </c>
      <c r="AB138">
        <f t="shared" ca="1" si="14"/>
        <v>8</v>
      </c>
      <c r="AC138">
        <f t="shared" si="15"/>
        <v>650.00000000000023</v>
      </c>
      <c r="AD138">
        <f t="shared" si="16"/>
        <v>-49.999999999999829</v>
      </c>
      <c r="AE138">
        <f t="shared" si="17"/>
        <v>-0.49999999999999828</v>
      </c>
      <c r="AF138">
        <f t="shared" si="12"/>
        <v>2010</v>
      </c>
      <c r="AI138" s="2">
        <v>0.54166666666666663</v>
      </c>
      <c r="AJ138" s="4">
        <v>637.0462730779185</v>
      </c>
      <c r="AK138" s="4">
        <v>755.34986487896788</v>
      </c>
      <c r="AL138" s="4">
        <v>841.40157188759406</v>
      </c>
      <c r="AM138" s="4"/>
      <c r="AP138" s="2">
        <v>0.54166666666666663</v>
      </c>
      <c r="AQ138" s="4">
        <v>84.274008789963688</v>
      </c>
      <c r="AR138" s="4">
        <v>81.325499580833267</v>
      </c>
      <c r="AS138" s="4">
        <v>96.271146131963818</v>
      </c>
      <c r="AT138" s="4"/>
      <c r="AW138" s="2">
        <v>0.54166666666666663</v>
      </c>
      <c r="AX138" s="4">
        <v>2.7125220446338894</v>
      </c>
      <c r="AY138" s="4">
        <v>5.1944550369276108</v>
      </c>
      <c r="AZ138" s="4">
        <v>3.870492513913693</v>
      </c>
      <c r="BA138" s="4"/>
    </row>
    <row r="139" spans="27:53" x14ac:dyDescent="0.25">
      <c r="AA139">
        <f t="shared" ca="1" si="13"/>
        <v>566.57864376269049</v>
      </c>
      <c r="AB139">
        <f t="shared" ca="1" si="14"/>
        <v>8</v>
      </c>
      <c r="AC139">
        <f t="shared" si="15"/>
        <v>629.28932188134524</v>
      </c>
      <c r="AD139">
        <f t="shared" si="16"/>
        <v>-70.710678118654712</v>
      </c>
      <c r="AE139">
        <f t="shared" si="17"/>
        <v>-0.70710678118654713</v>
      </c>
      <c r="AF139">
        <f t="shared" si="12"/>
        <v>2025</v>
      </c>
      <c r="AI139" s="2">
        <v>0.58333333333333337</v>
      </c>
      <c r="AJ139" s="4">
        <v>679.45734531062931</v>
      </c>
      <c r="AK139" s="4">
        <v>749.34789273086722</v>
      </c>
      <c r="AL139" s="4">
        <v>849.81872536504648</v>
      </c>
      <c r="AM139" s="4"/>
      <c r="AP139" s="2">
        <v>0.58333333333333337</v>
      </c>
      <c r="AQ139" s="4">
        <v>84.730555703613561</v>
      </c>
      <c r="AR139" s="4">
        <v>80.836945141152853</v>
      </c>
      <c r="AS139" s="4">
        <v>96.615379509305868</v>
      </c>
      <c r="AT139" s="4"/>
      <c r="AW139" s="2">
        <v>0.58333333333333337</v>
      </c>
      <c r="AX139" s="4">
        <v>2.0532964984034292</v>
      </c>
      <c r="AY139" s="4">
        <v>4.3728544001787153</v>
      </c>
      <c r="AZ139" s="4">
        <v>2.9265325632696491</v>
      </c>
      <c r="BA139" s="4"/>
    </row>
    <row r="140" spans="27:53" x14ac:dyDescent="0.25">
      <c r="AA140">
        <f t="shared" ca="1" si="13"/>
        <v>520.79491924311219</v>
      </c>
      <c r="AB140">
        <f t="shared" ca="1" si="14"/>
        <v>-6</v>
      </c>
      <c r="AC140">
        <f t="shared" si="15"/>
        <v>613.3974596215561</v>
      </c>
      <c r="AD140">
        <f t="shared" si="16"/>
        <v>-86.602540378443919</v>
      </c>
      <c r="AE140">
        <f t="shared" si="17"/>
        <v>-0.86602540378443915</v>
      </c>
      <c r="AF140">
        <f t="shared" si="12"/>
        <v>2040</v>
      </c>
      <c r="AI140" s="2">
        <v>0.625</v>
      </c>
      <c r="AJ140" s="4">
        <v>717.46848880142397</v>
      </c>
      <c r="AK140" s="4">
        <v>817.22627441495263</v>
      </c>
      <c r="AL140" s="4">
        <v>911.03906639865045</v>
      </c>
      <c r="AM140" s="4"/>
      <c r="AP140" s="2">
        <v>0.625</v>
      </c>
      <c r="AQ140" s="4">
        <v>85.051511242675858</v>
      </c>
      <c r="AR140" s="4">
        <v>81.657580263028422</v>
      </c>
      <c r="AS140" s="4">
        <v>95.712353586712752</v>
      </c>
      <c r="AT140" s="4"/>
      <c r="AW140" s="2">
        <v>0.625</v>
      </c>
      <c r="AX140" s="4">
        <v>2.519556317721098</v>
      </c>
      <c r="AY140" s="4">
        <v>5.15694822030461</v>
      </c>
      <c r="AZ140" s="4">
        <v>3.2135446554768041</v>
      </c>
      <c r="BA140" s="4"/>
    </row>
    <row r="141" spans="27:53" x14ac:dyDescent="0.25">
      <c r="AA141">
        <f t="shared" ca="1" si="13"/>
        <v>496.81483474218618</v>
      </c>
      <c r="AB141">
        <f t="shared" ca="1" si="14"/>
        <v>-10</v>
      </c>
      <c r="AC141">
        <f t="shared" si="15"/>
        <v>603.40741737109306</v>
      </c>
      <c r="AD141">
        <f t="shared" si="16"/>
        <v>-96.592582628906882</v>
      </c>
      <c r="AE141">
        <f t="shared" si="17"/>
        <v>-0.96592582628906887</v>
      </c>
      <c r="AF141">
        <f t="shared" si="12"/>
        <v>2055</v>
      </c>
      <c r="AI141" s="2">
        <v>0.66666666666666663</v>
      </c>
      <c r="AJ141" s="4">
        <v>718.27375250056014</v>
      </c>
      <c r="AK141" s="4">
        <v>798.85442153214035</v>
      </c>
      <c r="AL141" s="4">
        <v>929.35148527057129</v>
      </c>
      <c r="AM141" s="4"/>
      <c r="AP141" s="2">
        <v>0.66666666666666663</v>
      </c>
      <c r="AQ141" s="4">
        <v>84.471904735784292</v>
      </c>
      <c r="AR141" s="4">
        <v>81.078161019471096</v>
      </c>
      <c r="AS141" s="4">
        <v>96.499846727226412</v>
      </c>
      <c r="AT141" s="4"/>
      <c r="AW141" s="2">
        <v>0.66666666666666663</v>
      </c>
      <c r="AX141" s="4">
        <v>1.6727868313342322</v>
      </c>
      <c r="AY141" s="4">
        <v>5.0138606772949403</v>
      </c>
      <c r="AZ141" s="4">
        <v>2.693077740422313</v>
      </c>
      <c r="BA141" s="4"/>
    </row>
    <row r="142" spans="27:53" x14ac:dyDescent="0.25">
      <c r="AA142">
        <f t="shared" ca="1" si="13"/>
        <v>491</v>
      </c>
      <c r="AB142">
        <f t="shared" ca="1" si="14"/>
        <v>-9</v>
      </c>
      <c r="AC142">
        <f t="shared" si="15"/>
        <v>600</v>
      </c>
      <c r="AD142">
        <f t="shared" si="16"/>
        <v>-100</v>
      </c>
      <c r="AE142">
        <f t="shared" si="17"/>
        <v>-1</v>
      </c>
      <c r="AF142">
        <f t="shared" si="12"/>
        <v>2070</v>
      </c>
      <c r="AI142" s="2">
        <v>0.70833333333333337</v>
      </c>
      <c r="AJ142" s="4">
        <v>738.47092064059802</v>
      </c>
      <c r="AK142" s="4">
        <v>831.12830778459579</v>
      </c>
      <c r="AL142" s="4">
        <v>953.85407837205253</v>
      </c>
      <c r="AM142" s="4"/>
      <c r="AP142" s="2">
        <v>0.70833333333333337</v>
      </c>
      <c r="AQ142" s="4">
        <v>84.003071343048035</v>
      </c>
      <c r="AR142" s="4">
        <v>80.869818774832552</v>
      </c>
      <c r="AS142" s="4">
        <v>96.306079482300419</v>
      </c>
      <c r="AT142" s="4"/>
      <c r="AW142" s="2">
        <v>0.70833333333333337</v>
      </c>
      <c r="AX142" s="4">
        <v>1.3272847250065918</v>
      </c>
      <c r="AY142" s="4">
        <v>4.3490626920604285</v>
      </c>
      <c r="AZ142" s="4">
        <v>2.3388762336001969</v>
      </c>
      <c r="BA142" s="4"/>
    </row>
    <row r="143" spans="27:53" x14ac:dyDescent="0.25">
      <c r="AA143">
        <f t="shared" ca="1" si="13"/>
        <v>497.81483474218618</v>
      </c>
      <c r="AB143">
        <f t="shared" ca="1" si="14"/>
        <v>-9</v>
      </c>
      <c r="AC143">
        <f t="shared" si="15"/>
        <v>603.40741737109306</v>
      </c>
      <c r="AD143">
        <f t="shared" si="16"/>
        <v>-96.592582628906882</v>
      </c>
      <c r="AE143">
        <f t="shared" si="17"/>
        <v>-0.96592582628906876</v>
      </c>
      <c r="AF143">
        <f t="shared" si="12"/>
        <v>2085</v>
      </c>
      <c r="AI143" s="2">
        <v>0.75</v>
      </c>
      <c r="AJ143" s="4">
        <v>737.2543481371448</v>
      </c>
      <c r="AK143" s="4">
        <v>830.95135014476978</v>
      </c>
      <c r="AL143" s="4">
        <v>951.46101911639528</v>
      </c>
      <c r="AM143" s="4"/>
      <c r="AP143" s="2">
        <v>0.75</v>
      </c>
      <c r="AQ143" s="4">
        <v>83.807636876690822</v>
      </c>
      <c r="AR143" s="4">
        <v>81.671052334866943</v>
      </c>
      <c r="AS143" s="4">
        <v>95.41460640620231</v>
      </c>
      <c r="AT143" s="4"/>
      <c r="AW143" s="2">
        <v>0.75</v>
      </c>
      <c r="AX143" s="4">
        <v>1.3486825178474211</v>
      </c>
      <c r="AY143" s="4">
        <v>3.8432431172875505</v>
      </c>
      <c r="AZ143" s="4">
        <v>1.5971124146864062</v>
      </c>
      <c r="BA143" s="4"/>
    </row>
    <row r="144" spans="27:53" x14ac:dyDescent="0.25">
      <c r="AA144">
        <f t="shared" ca="1" si="13"/>
        <v>536.79491924311219</v>
      </c>
      <c r="AB144">
        <f t="shared" ca="1" si="14"/>
        <v>10</v>
      </c>
      <c r="AC144">
        <f t="shared" si="15"/>
        <v>613.3974596215561</v>
      </c>
      <c r="AD144">
        <f t="shared" si="16"/>
        <v>-86.602540378443877</v>
      </c>
      <c r="AE144">
        <f t="shared" si="17"/>
        <v>-0.86602540378443882</v>
      </c>
      <c r="AF144">
        <f t="shared" si="12"/>
        <v>2100</v>
      </c>
      <c r="AI144" s="2">
        <v>0.79166666666666663</v>
      </c>
      <c r="AJ144" s="4">
        <v>715.37156159063215</v>
      </c>
      <c r="AK144" s="4">
        <v>793.68816055164041</v>
      </c>
      <c r="AL144" s="4">
        <v>917.69436099521931</v>
      </c>
      <c r="AM144" s="4"/>
      <c r="AP144" s="2">
        <v>0.79166666666666663</v>
      </c>
      <c r="AQ144" s="4">
        <v>83.251464150908674</v>
      </c>
      <c r="AR144" s="4">
        <v>81.133782183071531</v>
      </c>
      <c r="AS144" s="4">
        <v>95.763394795563627</v>
      </c>
      <c r="AT144" s="4"/>
      <c r="AW144" s="2">
        <v>0.79166666666666663</v>
      </c>
      <c r="AX144" s="4">
        <v>1.9851435549605041</v>
      </c>
      <c r="AY144" s="4">
        <v>2.9449455430654856</v>
      </c>
      <c r="AZ144" s="4">
        <v>1.5658853889614193</v>
      </c>
      <c r="BA144" s="4"/>
    </row>
    <row r="145" spans="27:53" x14ac:dyDescent="0.25">
      <c r="AA145">
        <f t="shared" ca="1" si="13"/>
        <v>550.57864376269072</v>
      </c>
      <c r="AB145">
        <f t="shared" ca="1" si="14"/>
        <v>-8</v>
      </c>
      <c r="AC145">
        <f t="shared" si="15"/>
        <v>629.28932188134536</v>
      </c>
      <c r="AD145">
        <f t="shared" si="16"/>
        <v>-70.71067811865467</v>
      </c>
      <c r="AE145">
        <f t="shared" si="17"/>
        <v>-0.70710678118654668</v>
      </c>
      <c r="AF145">
        <f t="shared" si="12"/>
        <v>2115</v>
      </c>
      <c r="AI145" s="2">
        <v>0.83333333333333337</v>
      </c>
      <c r="AJ145" s="4">
        <v>686.50182858517439</v>
      </c>
      <c r="AK145" s="4">
        <v>767.18563657645939</v>
      </c>
      <c r="AL145" s="4">
        <v>883.97506701956934</v>
      </c>
      <c r="AM145" s="4"/>
      <c r="AP145" s="2">
        <v>0.83333333333333337</v>
      </c>
      <c r="AQ145" s="4">
        <v>83.674939982557945</v>
      </c>
      <c r="AR145" s="4">
        <v>80.35427666417398</v>
      </c>
      <c r="AS145" s="4">
        <v>96.693820793101864</v>
      </c>
      <c r="AT145" s="4"/>
      <c r="AW145" s="2">
        <v>0.83333333333333337</v>
      </c>
      <c r="AX145" s="4">
        <v>2.4323846470168844</v>
      </c>
      <c r="AY145" s="4">
        <v>3.253228876669088</v>
      </c>
      <c r="AZ145" s="4">
        <v>1.6261432590020013</v>
      </c>
      <c r="BA145" s="4"/>
    </row>
    <row r="146" spans="27:53" x14ac:dyDescent="0.25">
      <c r="AA146">
        <f t="shared" ca="1" si="13"/>
        <v>593.00000000000045</v>
      </c>
      <c r="AB146">
        <f t="shared" ca="1" si="14"/>
        <v>-7</v>
      </c>
      <c r="AC146">
        <f t="shared" si="15"/>
        <v>650.00000000000023</v>
      </c>
      <c r="AD146">
        <f t="shared" si="16"/>
        <v>-49.999999999999766</v>
      </c>
      <c r="AE146">
        <f t="shared" si="17"/>
        <v>-0.49999999999999767</v>
      </c>
      <c r="AF146">
        <f t="shared" si="12"/>
        <v>2130</v>
      </c>
      <c r="AI146" s="2">
        <v>0.875</v>
      </c>
      <c r="AJ146" s="4">
        <v>618.40677099290292</v>
      </c>
      <c r="AK146" s="4">
        <v>714.26132439921537</v>
      </c>
      <c r="AL146" s="4">
        <v>804.30926374443641</v>
      </c>
      <c r="AM146" s="4"/>
      <c r="AP146" s="2">
        <v>0.875</v>
      </c>
      <c r="AQ146" s="4">
        <v>84.137802995926478</v>
      </c>
      <c r="AR146" s="4">
        <v>81.341809351364049</v>
      </c>
      <c r="AS146" s="4">
        <v>97.572897081070323</v>
      </c>
      <c r="AT146" s="4"/>
      <c r="AW146" s="2">
        <v>0.875</v>
      </c>
      <c r="AX146" s="4">
        <v>1.7954118596630739</v>
      </c>
      <c r="AY146" s="4">
        <v>3.0070512766270521</v>
      </c>
      <c r="AZ146" s="4">
        <v>2.6132138083707428</v>
      </c>
      <c r="BA146" s="4"/>
    </row>
    <row r="147" spans="27:53" x14ac:dyDescent="0.25">
      <c r="AA147">
        <f t="shared" ca="1" si="13"/>
        <v>655.23619097949518</v>
      </c>
      <c r="AB147">
        <f t="shared" ca="1" si="14"/>
        <v>7</v>
      </c>
      <c r="AC147">
        <f t="shared" si="15"/>
        <v>674.11809548974759</v>
      </c>
      <c r="AD147">
        <f t="shared" si="16"/>
        <v>-25.881904510252362</v>
      </c>
      <c r="AE147">
        <f t="shared" si="17"/>
        <v>-0.25881904510252363</v>
      </c>
      <c r="AF147">
        <f t="shared" si="12"/>
        <v>2145</v>
      </c>
      <c r="AI147" s="2">
        <v>0.91666666666666663</v>
      </c>
      <c r="AJ147" s="4">
        <v>553.20757104974359</v>
      </c>
      <c r="AK147" s="4">
        <v>650.03834450883448</v>
      </c>
      <c r="AL147" s="4">
        <v>792.71597019826095</v>
      </c>
      <c r="AM147" s="4"/>
      <c r="AP147" s="2">
        <v>0.91666666666666663</v>
      </c>
      <c r="AQ147" s="4">
        <v>84.92991218876216</v>
      </c>
      <c r="AR147" s="4">
        <v>82.100275784359042</v>
      </c>
      <c r="AS147" s="4">
        <v>97.875163524284062</v>
      </c>
      <c r="AT147" s="4"/>
      <c r="AW147" s="2">
        <v>0.91666666666666663</v>
      </c>
      <c r="AX147" s="4">
        <v>1.8673535940252224</v>
      </c>
      <c r="AY147" s="4">
        <v>2.0953649869472866</v>
      </c>
      <c r="AZ147" s="4">
        <v>1.9513730222134233</v>
      </c>
      <c r="BA147" s="4"/>
    </row>
    <row r="148" spans="27:53" x14ac:dyDescent="0.25">
      <c r="AA148">
        <f t="shared" ca="1" si="13"/>
        <v>703.99999999999977</v>
      </c>
      <c r="AB148">
        <f t="shared" ca="1" si="14"/>
        <v>4</v>
      </c>
      <c r="AC148">
        <f t="shared" si="15"/>
        <v>699.99999999999989</v>
      </c>
      <c r="AD148">
        <f t="shared" si="16"/>
        <v>-1.470178145890344E-13</v>
      </c>
      <c r="AE148">
        <f t="shared" si="17"/>
        <v>-1.470178145890344E-15</v>
      </c>
      <c r="AF148">
        <f t="shared" si="12"/>
        <v>2160</v>
      </c>
      <c r="AI148" s="2">
        <v>0.95833333333333337</v>
      </c>
      <c r="AJ148" s="4">
        <v>504.94860070965461</v>
      </c>
      <c r="AK148" s="4">
        <v>649.13335219472742</v>
      </c>
      <c r="AL148" s="4">
        <v>736.11072827678049</v>
      </c>
      <c r="AM148" s="4"/>
      <c r="AP148" s="2">
        <v>0.95833333333333337</v>
      </c>
      <c r="AQ148" s="4">
        <v>84.156424487897382</v>
      </c>
      <c r="AR148" s="4">
        <v>82.29328717597221</v>
      </c>
      <c r="AS148" s="4">
        <v>97.830829686228938</v>
      </c>
      <c r="AT148" s="4"/>
      <c r="AW148" s="2">
        <v>0.95833333333333337</v>
      </c>
      <c r="AX148" s="4">
        <v>2.7507993627278347</v>
      </c>
      <c r="AY148" s="4">
        <v>1.8921283790534769</v>
      </c>
      <c r="AZ148" s="4">
        <v>1.8653306884223242</v>
      </c>
      <c r="BA148" s="4"/>
    </row>
    <row r="149" spans="27:53" x14ac:dyDescent="0.25">
      <c r="AA149">
        <f t="shared" ca="1" si="13"/>
        <v>758.76380902050414</v>
      </c>
      <c r="AB149">
        <f t="shared" ca="1" si="14"/>
        <v>7</v>
      </c>
      <c r="AC149">
        <f t="shared" si="15"/>
        <v>725.88190451025207</v>
      </c>
      <c r="AD149">
        <f t="shared" si="16"/>
        <v>25.881904510252074</v>
      </c>
      <c r="AE149">
        <f t="shared" si="17"/>
        <v>0.25881904510252074</v>
      </c>
      <c r="AF149">
        <f t="shared" si="12"/>
        <v>2175</v>
      </c>
      <c r="AH149" s="1">
        <v>43472</v>
      </c>
      <c r="AI149" s="2">
        <v>0</v>
      </c>
      <c r="AJ149" s="4">
        <v>453.46616444097828</v>
      </c>
      <c r="AK149" s="4">
        <v>597.48954842360263</v>
      </c>
      <c r="AL149" s="4">
        <v>680.18733718234148</v>
      </c>
      <c r="AM149" s="4"/>
      <c r="AO149" s="1">
        <v>43472</v>
      </c>
      <c r="AP149" s="2">
        <v>0</v>
      </c>
      <c r="AQ149" s="4">
        <v>83.614203304915378</v>
      </c>
      <c r="AR149" s="4">
        <v>82.277842272893878</v>
      </c>
      <c r="AS149" s="4">
        <v>97.170017685308736</v>
      </c>
      <c r="AT149" s="4"/>
      <c r="AV149" s="1">
        <v>43472</v>
      </c>
      <c r="AW149" s="2">
        <v>0</v>
      </c>
      <c r="AX149" s="4">
        <v>2.7868328895932661</v>
      </c>
      <c r="AY149" s="4">
        <v>2.0851177189673877</v>
      </c>
      <c r="AZ149" s="4">
        <v>1.5192291546390031</v>
      </c>
      <c r="BA149" s="4"/>
    </row>
    <row r="150" spans="27:53" x14ac:dyDescent="0.25">
      <c r="AA150">
        <f t="shared" ca="1" si="13"/>
        <v>804.00000000000023</v>
      </c>
      <c r="AB150">
        <f t="shared" ca="1" si="14"/>
        <v>4</v>
      </c>
      <c r="AC150">
        <f t="shared" si="15"/>
        <v>750.00000000000011</v>
      </c>
      <c r="AD150">
        <f t="shared" si="16"/>
        <v>50.000000000000121</v>
      </c>
      <c r="AE150">
        <f t="shared" si="17"/>
        <v>0.50000000000000122</v>
      </c>
      <c r="AF150">
        <f t="shared" si="12"/>
        <v>2190</v>
      </c>
      <c r="AI150" s="2">
        <v>4.1666666666666664E-2</v>
      </c>
      <c r="AJ150" s="4">
        <v>426.55104693111059</v>
      </c>
      <c r="AK150" s="4">
        <v>543.26542484801871</v>
      </c>
      <c r="AL150" s="4">
        <v>655.52113687548604</v>
      </c>
      <c r="AM150" s="4"/>
      <c r="AP150" s="2">
        <v>4.1666666666666664E-2</v>
      </c>
      <c r="AQ150" s="4">
        <v>83.633874041700722</v>
      </c>
      <c r="AR150" s="4">
        <v>81.545547939756005</v>
      </c>
      <c r="AS150" s="4">
        <v>97.062512220987628</v>
      </c>
      <c r="AT150" s="4"/>
      <c r="AW150" s="2">
        <v>4.1666666666666664E-2</v>
      </c>
      <c r="AX150" s="4">
        <v>2.2828462572378179</v>
      </c>
      <c r="AY150" s="4">
        <v>2.315444219951492</v>
      </c>
      <c r="AZ150" s="4">
        <v>1.0861086135877924</v>
      </c>
      <c r="BA150" s="4"/>
    </row>
    <row r="151" spans="27:53" x14ac:dyDescent="0.25">
      <c r="AA151">
        <f t="shared" ca="1" si="13"/>
        <v>839.42135623730883</v>
      </c>
      <c r="AB151">
        <f t="shared" ca="1" si="14"/>
        <v>-2</v>
      </c>
      <c r="AC151">
        <f t="shared" si="15"/>
        <v>770.71067811865441</v>
      </c>
      <c r="AD151">
        <f t="shared" si="16"/>
        <v>70.710678118654457</v>
      </c>
      <c r="AE151">
        <f t="shared" si="17"/>
        <v>0.70710678118654458</v>
      </c>
      <c r="AF151">
        <f t="shared" si="12"/>
        <v>2205</v>
      </c>
      <c r="AI151" s="2">
        <v>8.3333333333333329E-2</v>
      </c>
      <c r="AJ151" s="4">
        <v>382.44913254256488</v>
      </c>
      <c r="AK151" s="4">
        <v>520.73102542101947</v>
      </c>
      <c r="AL151" s="4">
        <v>578.10949033822158</v>
      </c>
      <c r="AM151" s="4"/>
      <c r="AP151" s="2">
        <v>8.3333333333333329E-2</v>
      </c>
      <c r="AQ151" s="4">
        <v>84.414748778488203</v>
      </c>
      <c r="AR151" s="4">
        <v>81.389462607124898</v>
      </c>
      <c r="AS151" s="4">
        <v>97.717076197486492</v>
      </c>
      <c r="AT151" s="4"/>
      <c r="AW151" s="2">
        <v>8.3333333333333329E-2</v>
      </c>
      <c r="AX151" s="4">
        <v>2.906950872250027</v>
      </c>
      <c r="AY151" s="4">
        <v>2.2645499670119342</v>
      </c>
      <c r="AZ151" s="4">
        <v>0.25830958506656509</v>
      </c>
      <c r="BA151" s="4"/>
    </row>
    <row r="152" spans="27:53" x14ac:dyDescent="0.25">
      <c r="AA152">
        <f t="shared" ca="1" si="13"/>
        <v>877.20508075688736</v>
      </c>
      <c r="AB152">
        <f t="shared" ca="1" si="14"/>
        <v>4</v>
      </c>
      <c r="AC152">
        <f t="shared" si="15"/>
        <v>786.60254037844368</v>
      </c>
      <c r="AD152">
        <f t="shared" si="16"/>
        <v>86.60254037844372</v>
      </c>
      <c r="AE152">
        <f t="shared" si="17"/>
        <v>0.86602540378443726</v>
      </c>
      <c r="AF152">
        <f t="shared" si="12"/>
        <v>2220</v>
      </c>
      <c r="AI152" s="2">
        <v>0.125</v>
      </c>
      <c r="AJ152" s="4">
        <v>365.72583300030772</v>
      </c>
      <c r="AK152" s="4">
        <v>437.7768194270638</v>
      </c>
      <c r="AL152" s="4">
        <v>536.7257454532039</v>
      </c>
      <c r="AM152" s="4"/>
      <c r="AP152" s="2">
        <v>0.125</v>
      </c>
      <c r="AQ152" s="4">
        <v>85.400907834822533</v>
      </c>
      <c r="AR152" s="4">
        <v>80.728639219462536</v>
      </c>
      <c r="AS152" s="4">
        <v>96.731312744613035</v>
      </c>
      <c r="AT152" s="4"/>
      <c r="AW152" s="2">
        <v>0.125</v>
      </c>
      <c r="AX152" s="4">
        <v>3.4444011761150977</v>
      </c>
      <c r="AY152" s="4">
        <v>1.6507018737743064</v>
      </c>
      <c r="AZ152" s="4">
        <v>0.72000718986818513</v>
      </c>
      <c r="BA152" s="4"/>
    </row>
    <row r="153" spans="27:53" x14ac:dyDescent="0.25">
      <c r="AA153">
        <f t="shared" ca="1" si="13"/>
        <v>896.18516525781365</v>
      </c>
      <c r="AB153">
        <f t="shared" ca="1" si="14"/>
        <v>3</v>
      </c>
      <c r="AC153">
        <f t="shared" si="15"/>
        <v>796.59258262890683</v>
      </c>
      <c r="AD153">
        <f t="shared" si="16"/>
        <v>96.592582628906797</v>
      </c>
      <c r="AE153">
        <f t="shared" si="17"/>
        <v>0.96592582628906798</v>
      </c>
      <c r="AF153">
        <f t="shared" si="12"/>
        <v>2235</v>
      </c>
      <c r="AI153" s="2">
        <v>0.16666666666666666</v>
      </c>
      <c r="AJ153" s="4">
        <v>332.96264296614549</v>
      </c>
      <c r="AK153" s="4">
        <v>407.15751243888985</v>
      </c>
      <c r="AL153" s="4">
        <v>565.87431059573726</v>
      </c>
      <c r="AM153" s="4"/>
      <c r="AP153" s="2">
        <v>0.16666666666666666</v>
      </c>
      <c r="AQ153" s="4">
        <v>85.521725864497526</v>
      </c>
      <c r="AR153" s="4">
        <v>81.676058006857204</v>
      </c>
      <c r="AS153" s="4">
        <v>95.928970928469155</v>
      </c>
      <c r="AT153" s="4"/>
      <c r="AW153" s="2">
        <v>0.16666666666666666</v>
      </c>
      <c r="AX153" s="4">
        <v>3.0843119192482531</v>
      </c>
      <c r="AY153" s="4">
        <v>2.3580842772189632</v>
      </c>
      <c r="AZ153" s="4">
        <v>0.97134577855061732</v>
      </c>
      <c r="BA153" s="4"/>
    </row>
    <row r="154" spans="27:53" x14ac:dyDescent="0.25">
      <c r="AA154">
        <f t="shared" ca="1" si="13"/>
        <v>895</v>
      </c>
      <c r="AB154">
        <f t="shared" ca="1" si="14"/>
        <v>-5</v>
      </c>
      <c r="AC154">
        <f t="shared" si="15"/>
        <v>800</v>
      </c>
      <c r="AD154">
        <f t="shared" si="16"/>
        <v>100</v>
      </c>
      <c r="AE154">
        <f t="shared" si="17"/>
        <v>1</v>
      </c>
      <c r="AF154">
        <f t="shared" si="12"/>
        <v>2250</v>
      </c>
      <c r="AI154" s="2">
        <v>0.20833333333333334</v>
      </c>
      <c r="AJ154" s="4">
        <v>332.38718517666337</v>
      </c>
      <c r="AK154" s="4">
        <v>400.64346623607344</v>
      </c>
      <c r="AL154" s="4">
        <v>538.89294919752524</v>
      </c>
      <c r="AM154" s="4"/>
      <c r="AP154" s="2">
        <v>0.20833333333333334</v>
      </c>
      <c r="AQ154" s="4">
        <v>84.588182123038322</v>
      </c>
      <c r="AR154" s="4">
        <v>82.445284634327848</v>
      </c>
      <c r="AS154" s="4">
        <v>96.475912989803604</v>
      </c>
      <c r="AT154" s="4"/>
      <c r="AW154" s="2">
        <v>0.20833333333333334</v>
      </c>
      <c r="AX154" s="4">
        <v>3.7405276091563855</v>
      </c>
      <c r="AY154" s="4">
        <v>1.5545641252226283</v>
      </c>
      <c r="AZ154" s="4">
        <v>1.3138496603004963</v>
      </c>
      <c r="BA154" s="4"/>
    </row>
    <row r="155" spans="27:53" x14ac:dyDescent="0.25">
      <c r="AA155">
        <f t="shared" ca="1" si="13"/>
        <v>895.18516525781365</v>
      </c>
      <c r="AB155">
        <f t="shared" ca="1" si="14"/>
        <v>2</v>
      </c>
      <c r="AC155">
        <f t="shared" si="15"/>
        <v>796.59258262890683</v>
      </c>
      <c r="AD155">
        <f t="shared" si="16"/>
        <v>96.592582628906783</v>
      </c>
      <c r="AE155">
        <f t="shared" si="17"/>
        <v>0.96592582628906787</v>
      </c>
      <c r="AF155">
        <f t="shared" si="12"/>
        <v>2265</v>
      </c>
      <c r="AI155" s="2">
        <v>0.25</v>
      </c>
      <c r="AJ155" s="4">
        <v>332.35136683378613</v>
      </c>
      <c r="AK155" s="4">
        <v>411.8763943331154</v>
      </c>
      <c r="AL155" s="4">
        <v>552.09350412076867</v>
      </c>
      <c r="AM155" s="4"/>
      <c r="AP155" s="2">
        <v>0.25</v>
      </c>
      <c r="AQ155" s="4">
        <v>85.569553039656071</v>
      </c>
      <c r="AR155" s="4">
        <v>82.265801315586259</v>
      </c>
      <c r="AS155" s="4">
        <v>95.697974479243754</v>
      </c>
      <c r="AT155" s="4"/>
      <c r="AW155" s="2">
        <v>0.25</v>
      </c>
      <c r="AX155" s="4">
        <v>4.1673864857936946</v>
      </c>
      <c r="AY155" s="4">
        <v>0.78018246668466429</v>
      </c>
      <c r="AZ155" s="4">
        <v>1.47046931545654</v>
      </c>
      <c r="BA155" s="4"/>
    </row>
    <row r="156" spans="27:53" x14ac:dyDescent="0.25">
      <c r="AA156">
        <f t="shared" ca="1" si="13"/>
        <v>866.20508075688804</v>
      </c>
      <c r="AB156">
        <f t="shared" ca="1" si="14"/>
        <v>-7</v>
      </c>
      <c r="AC156">
        <f t="shared" si="15"/>
        <v>786.60254037844402</v>
      </c>
      <c r="AD156">
        <f t="shared" si="16"/>
        <v>86.602540378444061</v>
      </c>
      <c r="AE156">
        <f t="shared" si="17"/>
        <v>0.86602540378444059</v>
      </c>
      <c r="AF156">
        <f t="shared" si="12"/>
        <v>2280</v>
      </c>
      <c r="AI156" s="2">
        <v>0.29166666666666669</v>
      </c>
      <c r="AJ156" s="4">
        <v>371.41008645237991</v>
      </c>
      <c r="AK156" s="4">
        <v>442.35751415365172</v>
      </c>
      <c r="AL156" s="4">
        <v>584.98551986599136</v>
      </c>
      <c r="AM156" s="4"/>
      <c r="AP156" s="2">
        <v>0.29166666666666669</v>
      </c>
      <c r="AQ156" s="4">
        <v>84.980487578334191</v>
      </c>
      <c r="AR156" s="4">
        <v>82.477214729012772</v>
      </c>
      <c r="AS156" s="4">
        <v>95.89415985325293</v>
      </c>
      <c r="AT156" s="4"/>
      <c r="AW156" s="2">
        <v>0.29166666666666669</v>
      </c>
      <c r="AX156" s="4">
        <v>4.5990833750309514</v>
      </c>
      <c r="AY156" s="4">
        <v>1.7059471083561009</v>
      </c>
      <c r="AZ156" s="4">
        <v>1.971435550258001</v>
      </c>
      <c r="BA156" s="4"/>
    </row>
    <row r="157" spans="27:53" x14ac:dyDescent="0.25">
      <c r="AA157">
        <f t="shared" ca="1" si="13"/>
        <v>850.42135623730974</v>
      </c>
      <c r="AB157">
        <f t="shared" ca="1" si="14"/>
        <v>9</v>
      </c>
      <c r="AC157">
        <f t="shared" si="15"/>
        <v>770.71067811865487</v>
      </c>
      <c r="AD157">
        <f t="shared" si="16"/>
        <v>70.710678118654926</v>
      </c>
      <c r="AE157">
        <f t="shared" si="17"/>
        <v>0.70710678118654924</v>
      </c>
      <c r="AF157">
        <f t="shared" si="12"/>
        <v>2295</v>
      </c>
      <c r="AI157" s="2">
        <v>0.33333333333333331</v>
      </c>
      <c r="AJ157" s="4">
        <v>397.12786028448875</v>
      </c>
      <c r="AK157" s="4">
        <v>511.22232132477313</v>
      </c>
      <c r="AL157" s="4">
        <v>594.35451134947937</v>
      </c>
      <c r="AM157" s="4"/>
      <c r="AP157" s="2">
        <v>0.33333333333333331</v>
      </c>
      <c r="AQ157" s="4">
        <v>85.575602839064842</v>
      </c>
      <c r="AR157" s="4">
        <v>82.436315616844553</v>
      </c>
      <c r="AS157" s="4">
        <v>96.550701242358016</v>
      </c>
      <c r="AT157" s="4"/>
      <c r="AW157" s="2">
        <v>0.33333333333333331</v>
      </c>
      <c r="AX157" s="4">
        <v>5.4900618491144497</v>
      </c>
      <c r="AY157" s="4">
        <v>1.1820352501061153</v>
      </c>
      <c r="AZ157" s="4">
        <v>1.4775182342512796</v>
      </c>
      <c r="BA157" s="4"/>
    </row>
    <row r="158" spans="27:53" x14ac:dyDescent="0.25">
      <c r="AA158">
        <f t="shared" ca="1" si="13"/>
        <v>805.00000000000023</v>
      </c>
      <c r="AB158">
        <f t="shared" ca="1" si="14"/>
        <v>5</v>
      </c>
      <c r="AC158">
        <f t="shared" si="15"/>
        <v>750.00000000000011</v>
      </c>
      <c r="AD158">
        <f t="shared" si="16"/>
        <v>50.000000000000085</v>
      </c>
      <c r="AE158">
        <f t="shared" si="17"/>
        <v>0.50000000000000089</v>
      </c>
      <c r="AF158">
        <f t="shared" si="12"/>
        <v>2310</v>
      </c>
      <c r="AI158" s="2">
        <v>0.375</v>
      </c>
      <c r="AJ158" s="4">
        <v>464.56553570078603</v>
      </c>
      <c r="AK158" s="4">
        <v>530.68490309585479</v>
      </c>
      <c r="AL158" s="4">
        <v>611.20235796716543</v>
      </c>
      <c r="AM158" s="4"/>
      <c r="AP158" s="2">
        <v>0.375</v>
      </c>
      <c r="AQ158" s="4">
        <v>84.590559580248751</v>
      </c>
      <c r="AR158" s="4">
        <v>82.841613334009693</v>
      </c>
      <c r="AS158" s="4">
        <v>97.444637845783461</v>
      </c>
      <c r="AT158" s="4"/>
      <c r="AW158" s="2">
        <v>0.375</v>
      </c>
      <c r="AX158" s="4">
        <v>4.5924567234330462</v>
      </c>
      <c r="AY158" s="4">
        <v>0.55038268031535309</v>
      </c>
      <c r="AZ158" s="4">
        <v>2.0111092757519762</v>
      </c>
      <c r="BA158" s="4"/>
    </row>
    <row r="159" spans="27:53" x14ac:dyDescent="0.25">
      <c r="AA159">
        <f t="shared" ca="1" si="13"/>
        <v>754.76380902050414</v>
      </c>
      <c r="AB159">
        <f t="shared" ca="1" si="14"/>
        <v>3</v>
      </c>
      <c r="AC159">
        <f t="shared" si="15"/>
        <v>725.88190451025207</v>
      </c>
      <c r="AD159">
        <f t="shared" si="16"/>
        <v>25.881904510252028</v>
      </c>
      <c r="AE159">
        <f t="shared" si="17"/>
        <v>0.2588190451025203</v>
      </c>
      <c r="AF159">
        <f t="shared" si="12"/>
        <v>2325</v>
      </c>
      <c r="AI159" s="2">
        <v>0.41666666666666669</v>
      </c>
      <c r="AJ159" s="4">
        <v>493.75436837564587</v>
      </c>
      <c r="AK159" s="4">
        <v>575.2929038577862</v>
      </c>
      <c r="AL159" s="4">
        <v>663.59781793072148</v>
      </c>
      <c r="AM159" s="4"/>
      <c r="AP159" s="2">
        <v>0.41666666666666669</v>
      </c>
      <c r="AQ159" s="4">
        <v>84.281786772651884</v>
      </c>
      <c r="AR159" s="4">
        <v>82.816302222133373</v>
      </c>
      <c r="AS159" s="4">
        <v>96.536970225327821</v>
      </c>
      <c r="AT159" s="4"/>
      <c r="AW159" s="2">
        <v>0.41666666666666669</v>
      </c>
      <c r="AX159" s="4">
        <v>3.6275086652107102</v>
      </c>
      <c r="AY159" s="4">
        <v>1.3244110281334343</v>
      </c>
      <c r="AZ159" s="4">
        <v>1.0978373189073722</v>
      </c>
      <c r="BA159" s="4"/>
    </row>
    <row r="160" spans="27:53" x14ac:dyDescent="0.25">
      <c r="AA160">
        <f t="shared" ca="1" si="13"/>
        <v>707.99999999999955</v>
      </c>
      <c r="AB160">
        <f t="shared" ca="1" si="14"/>
        <v>8</v>
      </c>
      <c r="AC160">
        <f t="shared" si="15"/>
        <v>699.99999999999977</v>
      </c>
      <c r="AD160">
        <f t="shared" si="16"/>
        <v>-1.9600206874192949E-13</v>
      </c>
      <c r="AE160">
        <f t="shared" si="17"/>
        <v>-1.9600206874192949E-15</v>
      </c>
      <c r="AF160">
        <f t="shared" si="12"/>
        <v>2340</v>
      </c>
      <c r="AI160" s="2">
        <v>0.45833333333333331</v>
      </c>
      <c r="AJ160" s="4">
        <v>517.53128763883797</v>
      </c>
      <c r="AK160" s="4">
        <v>636.17935877426248</v>
      </c>
      <c r="AL160" s="4">
        <v>734.0720902133952</v>
      </c>
      <c r="AM160" s="4"/>
      <c r="AP160" s="2">
        <v>0.45833333333333331</v>
      </c>
      <c r="AQ160" s="4">
        <v>85.240217951041785</v>
      </c>
      <c r="AR160" s="4">
        <v>83.738868707223759</v>
      </c>
      <c r="AS160" s="4">
        <v>97.342850674329583</v>
      </c>
      <c r="AT160" s="4"/>
      <c r="AW160" s="2">
        <v>0.45833333333333331</v>
      </c>
      <c r="AX160" s="4">
        <v>4.1358675693372877</v>
      </c>
      <c r="AY160" s="4">
        <v>1.6324500490121641</v>
      </c>
      <c r="AZ160" s="4">
        <v>0.59639459522050886</v>
      </c>
      <c r="BA160" s="4"/>
    </row>
    <row r="161" spans="27:53" x14ac:dyDescent="0.25">
      <c r="AA161">
        <f t="shared" ca="1" si="13"/>
        <v>651.23619097949654</v>
      </c>
      <c r="AB161">
        <f t="shared" ca="1" si="14"/>
        <v>3</v>
      </c>
      <c r="AC161">
        <f t="shared" si="15"/>
        <v>674.11809548974827</v>
      </c>
      <c r="AD161">
        <f t="shared" si="16"/>
        <v>-25.881904510251719</v>
      </c>
      <c r="AE161">
        <f t="shared" si="17"/>
        <v>-0.25881904510251719</v>
      </c>
      <c r="AF161">
        <f t="shared" si="12"/>
        <v>2355</v>
      </c>
      <c r="AI161" s="2">
        <v>0.5</v>
      </c>
      <c r="AJ161" s="4">
        <v>571.67419207954424</v>
      </c>
      <c r="AK161" s="4">
        <v>676.67872178881021</v>
      </c>
      <c r="AL161" s="4">
        <v>761.09441575427093</v>
      </c>
      <c r="AM161" s="4"/>
      <c r="AP161" s="2">
        <v>0.5</v>
      </c>
      <c r="AQ161" s="4">
        <v>85.479954342055237</v>
      </c>
      <c r="AR161" s="4">
        <v>83.542509233205337</v>
      </c>
      <c r="AS161" s="4">
        <v>98.028644326998005</v>
      </c>
      <c r="AT161" s="4"/>
      <c r="AW161" s="2">
        <v>0.5</v>
      </c>
      <c r="AX161" s="4">
        <v>5.0525261677627693</v>
      </c>
      <c r="AY161" s="4">
        <v>2.6178580742153992</v>
      </c>
      <c r="AZ161" s="4">
        <v>1.5759682645267779</v>
      </c>
      <c r="BA161" s="4"/>
    </row>
    <row r="162" spans="27:53" x14ac:dyDescent="0.25">
      <c r="AA162">
        <f t="shared" ca="1" si="13"/>
        <v>599.00000000000045</v>
      </c>
      <c r="AB162">
        <f t="shared" ca="1" si="14"/>
        <v>-1</v>
      </c>
      <c r="AC162">
        <f t="shared" si="15"/>
        <v>650.00000000000023</v>
      </c>
      <c r="AD162">
        <f t="shared" si="16"/>
        <v>-49.999999999999808</v>
      </c>
      <c r="AE162">
        <f t="shared" si="17"/>
        <v>-0.49999999999999811</v>
      </c>
      <c r="AF162">
        <f t="shared" si="12"/>
        <v>2370</v>
      </c>
      <c r="AI162" s="2">
        <v>0.54166666666666663</v>
      </c>
      <c r="AJ162" s="4">
        <v>656.81666657130847</v>
      </c>
      <c r="AK162" s="4">
        <v>698.34697042877588</v>
      </c>
      <c r="AL162" s="4">
        <v>818.11192452524563</v>
      </c>
      <c r="AM162" s="4"/>
      <c r="AP162" s="2">
        <v>0.54166666666666663</v>
      </c>
      <c r="AQ162" s="4">
        <v>85.990364025014841</v>
      </c>
      <c r="AR162" s="4">
        <v>84.302849908081271</v>
      </c>
      <c r="AS162" s="4">
        <v>97.554402536424064</v>
      </c>
      <c r="AT162" s="4"/>
      <c r="AW162" s="2">
        <v>0.54166666666666663</v>
      </c>
      <c r="AX162" s="4">
        <v>4.1203549951560374</v>
      </c>
      <c r="AY162" s="4">
        <v>2.1250895188789816</v>
      </c>
      <c r="AZ162" s="4">
        <v>1.7188583974803995</v>
      </c>
      <c r="BA162" s="4"/>
    </row>
    <row r="163" spans="27:53" x14ac:dyDescent="0.25">
      <c r="AA163">
        <f t="shared" ca="1" si="13"/>
        <v>549.57864376269072</v>
      </c>
      <c r="AB163">
        <f t="shared" ca="1" si="14"/>
        <v>-9</v>
      </c>
      <c r="AC163">
        <f t="shared" si="15"/>
        <v>629.28932188134536</v>
      </c>
      <c r="AD163">
        <f t="shared" si="16"/>
        <v>-70.710678118654698</v>
      </c>
      <c r="AE163">
        <f t="shared" si="17"/>
        <v>-0.70710678118654702</v>
      </c>
      <c r="AF163">
        <f t="shared" si="12"/>
        <v>2385</v>
      </c>
      <c r="AI163" s="2">
        <v>0.58333333333333337</v>
      </c>
      <c r="AJ163" s="4">
        <v>700.41275258135238</v>
      </c>
      <c r="AK163" s="4">
        <v>789.91352849341547</v>
      </c>
      <c r="AL163" s="4">
        <v>881.45136008084296</v>
      </c>
      <c r="AM163" s="4"/>
      <c r="AP163" s="2">
        <v>0.58333333333333337</v>
      </c>
      <c r="AQ163" s="4">
        <v>86.649473964037128</v>
      </c>
      <c r="AR163" s="4">
        <v>84.471226679067271</v>
      </c>
      <c r="AS163" s="4">
        <v>98.451806084524648</v>
      </c>
      <c r="AT163" s="4"/>
      <c r="AW163" s="2">
        <v>0.58333333333333337</v>
      </c>
      <c r="AX163" s="4">
        <v>3.5112183765021334</v>
      </c>
      <c r="AY163" s="4">
        <v>2.4415321827439769</v>
      </c>
      <c r="AZ163" s="4">
        <v>1.9799922998584956</v>
      </c>
      <c r="BA163" s="4"/>
    </row>
    <row r="164" spans="27:53" x14ac:dyDescent="0.25">
      <c r="AA164">
        <f t="shared" ca="1" si="13"/>
        <v>523.79491924311219</v>
      </c>
      <c r="AB164">
        <f t="shared" ca="1" si="14"/>
        <v>-3</v>
      </c>
      <c r="AC164">
        <f t="shared" si="15"/>
        <v>613.3974596215561</v>
      </c>
      <c r="AD164">
        <f t="shared" si="16"/>
        <v>-86.602540378443905</v>
      </c>
      <c r="AE164">
        <f t="shared" si="17"/>
        <v>-0.86602540378443904</v>
      </c>
      <c r="AF164">
        <f t="shared" ref="AF164:AF171" si="18">AF163+15</f>
        <v>2400</v>
      </c>
      <c r="AI164" s="2">
        <v>0.625</v>
      </c>
      <c r="AJ164" s="4">
        <v>694.19614279479947</v>
      </c>
      <c r="AK164" s="4">
        <v>800.2787660237683</v>
      </c>
      <c r="AL164" s="4">
        <v>878.18894683323549</v>
      </c>
      <c r="AM164" s="4"/>
      <c r="AP164" s="2">
        <v>0.625</v>
      </c>
      <c r="AQ164" s="4">
        <v>86.380456117786892</v>
      </c>
      <c r="AR164" s="4">
        <v>84.947812527100723</v>
      </c>
      <c r="AS164" s="4">
        <v>98.334522237734447</v>
      </c>
      <c r="AT164" s="4"/>
      <c r="AW164" s="2">
        <v>0.625</v>
      </c>
      <c r="AX164" s="4">
        <v>3.6264485109538525</v>
      </c>
      <c r="AY164" s="4">
        <v>1.702174844464198</v>
      </c>
      <c r="AZ164" s="4">
        <v>2.2208054075433683</v>
      </c>
      <c r="BA164" s="4"/>
    </row>
    <row r="165" spans="27:53" x14ac:dyDescent="0.25">
      <c r="AA165">
        <f t="shared" ca="1" si="13"/>
        <v>506.81483474218618</v>
      </c>
      <c r="AB165">
        <f t="shared" ca="1" si="14"/>
        <v>0</v>
      </c>
      <c r="AC165">
        <f t="shared" si="15"/>
        <v>603.40741737109306</v>
      </c>
      <c r="AD165">
        <f t="shared" si="16"/>
        <v>-96.592582628906882</v>
      </c>
      <c r="AE165">
        <f t="shared" si="17"/>
        <v>-0.96592582628906887</v>
      </c>
      <c r="AF165">
        <f t="shared" si="18"/>
        <v>2415</v>
      </c>
      <c r="AI165" s="2">
        <v>0.66666666666666663</v>
      </c>
      <c r="AJ165" s="4">
        <v>733.30817356102375</v>
      </c>
      <c r="AK165" s="4">
        <v>857.40820582709011</v>
      </c>
      <c r="AL165" s="4">
        <v>923.58208884955752</v>
      </c>
      <c r="AM165" s="4"/>
      <c r="AP165" s="2">
        <v>0.66666666666666663</v>
      </c>
      <c r="AQ165" s="4">
        <v>86.143901762308928</v>
      </c>
      <c r="AR165" s="4">
        <v>85.576793199178013</v>
      </c>
      <c r="AS165" s="4">
        <v>97.488410012378864</v>
      </c>
      <c r="AT165" s="4"/>
      <c r="AW165" s="2">
        <v>0.66666666666666663</v>
      </c>
      <c r="AX165" s="4">
        <v>4.3481741221382038</v>
      </c>
      <c r="AY165" s="4">
        <v>1.3928935980680157</v>
      </c>
      <c r="AZ165" s="4">
        <v>1.9146580301990022</v>
      </c>
      <c r="BA165" s="4"/>
    </row>
    <row r="166" spans="27:53" x14ac:dyDescent="0.25">
      <c r="AA166">
        <f t="shared" ca="1" si="13"/>
        <v>499</v>
      </c>
      <c r="AB166">
        <f t="shared" ca="1" si="14"/>
        <v>-1</v>
      </c>
      <c r="AC166">
        <f t="shared" si="15"/>
        <v>600</v>
      </c>
      <c r="AD166">
        <f t="shared" si="16"/>
        <v>-100</v>
      </c>
      <c r="AE166">
        <f t="shared" si="17"/>
        <v>-1</v>
      </c>
      <c r="AF166">
        <f t="shared" si="18"/>
        <v>2430</v>
      </c>
      <c r="AI166" s="2">
        <v>0.70833333333333337</v>
      </c>
      <c r="AJ166" s="4">
        <v>712.94827682164714</v>
      </c>
      <c r="AK166" s="4">
        <v>800.6613483849859</v>
      </c>
      <c r="AL166" s="4">
        <v>945.45079465140213</v>
      </c>
      <c r="AM166" s="4"/>
      <c r="AP166" s="2">
        <v>0.70833333333333337</v>
      </c>
      <c r="AQ166" s="4">
        <v>86.001144447756914</v>
      </c>
      <c r="AR166" s="4">
        <v>86.068571016610989</v>
      </c>
      <c r="AS166" s="4">
        <v>98.472630648698512</v>
      </c>
      <c r="AT166" s="4"/>
      <c r="AW166" s="2">
        <v>0.70833333333333337</v>
      </c>
      <c r="AX166" s="4">
        <v>4.3721140595114809</v>
      </c>
      <c r="AY166" s="4">
        <v>1.4414137384114176</v>
      </c>
      <c r="AZ166" s="4">
        <v>2.2031195095679497</v>
      </c>
      <c r="BA166" s="4"/>
    </row>
    <row r="167" spans="27:53" x14ac:dyDescent="0.25">
      <c r="AA167">
        <f t="shared" ca="1" si="13"/>
        <v>498.81483474218618</v>
      </c>
      <c r="AB167">
        <f t="shared" ca="1" si="14"/>
        <v>-8</v>
      </c>
      <c r="AC167">
        <f t="shared" si="15"/>
        <v>603.40741737109306</v>
      </c>
      <c r="AD167">
        <f t="shared" si="16"/>
        <v>-96.592582628906882</v>
      </c>
      <c r="AE167">
        <f t="shared" si="17"/>
        <v>-0.96592582628906876</v>
      </c>
      <c r="AF167">
        <f t="shared" si="18"/>
        <v>2445</v>
      </c>
      <c r="AI167" s="2">
        <v>0.75</v>
      </c>
      <c r="AJ167" s="4">
        <v>714.13676517457156</v>
      </c>
      <c r="AK167" s="4">
        <v>804.70649661792027</v>
      </c>
      <c r="AL167" s="4">
        <v>916.5379249161964</v>
      </c>
      <c r="AM167" s="4"/>
      <c r="AP167" s="2">
        <v>0.75</v>
      </c>
      <c r="AQ167" s="4">
        <v>86.175326138840717</v>
      </c>
      <c r="AR167" s="4">
        <v>86.841953006471599</v>
      </c>
      <c r="AS167" s="4">
        <v>99.170352708379625</v>
      </c>
      <c r="AT167" s="4"/>
      <c r="AW167" s="2">
        <v>0.75</v>
      </c>
      <c r="AX167" s="4">
        <v>4.1333642271338098</v>
      </c>
      <c r="AY167" s="4">
        <v>1.3192668419870743</v>
      </c>
      <c r="AZ167" s="4">
        <v>2.0629554464529054</v>
      </c>
      <c r="BA167" s="4"/>
    </row>
    <row r="168" spans="27:53" x14ac:dyDescent="0.25">
      <c r="AA168">
        <f t="shared" ca="1" si="13"/>
        <v>520.79491924311219</v>
      </c>
      <c r="AB168">
        <f t="shared" ca="1" si="14"/>
        <v>-6</v>
      </c>
      <c r="AC168">
        <f t="shared" si="15"/>
        <v>613.3974596215561</v>
      </c>
      <c r="AD168">
        <f t="shared" si="16"/>
        <v>-86.602540378443891</v>
      </c>
      <c r="AE168">
        <f t="shared" si="17"/>
        <v>-0.86602540378443893</v>
      </c>
      <c r="AF168">
        <f t="shared" si="18"/>
        <v>2460</v>
      </c>
      <c r="AI168" s="2">
        <v>0.79166666666666663</v>
      </c>
      <c r="AJ168" s="4">
        <v>707.84029715022029</v>
      </c>
      <c r="AK168" s="4">
        <v>822.24650607121475</v>
      </c>
      <c r="AL168" s="4">
        <v>892.35183016491351</v>
      </c>
      <c r="AM168" s="4"/>
      <c r="AP168" s="2">
        <v>0.79166666666666663</v>
      </c>
      <c r="AQ168" s="4">
        <v>86.666829342472454</v>
      </c>
      <c r="AR168" s="4">
        <v>87.101107511099315</v>
      </c>
      <c r="AS168" s="4">
        <v>98.312138491331183</v>
      </c>
      <c r="AT168" s="4"/>
      <c r="AW168" s="2">
        <v>0.79166666666666663</v>
      </c>
      <c r="AX168" s="4">
        <v>4.4589134417431024</v>
      </c>
      <c r="AY168" s="4">
        <v>1.1580789300574614</v>
      </c>
      <c r="AZ168" s="4">
        <v>3.0491881260915177</v>
      </c>
      <c r="BA168" s="4"/>
    </row>
    <row r="169" spans="27:53" x14ac:dyDescent="0.25">
      <c r="AA169">
        <f t="shared" ca="1" si="13"/>
        <v>558.57864376269072</v>
      </c>
      <c r="AB169">
        <f t="shared" ca="1" si="14"/>
        <v>0</v>
      </c>
      <c r="AC169">
        <f t="shared" si="15"/>
        <v>629.28932188134536</v>
      </c>
      <c r="AD169">
        <f t="shared" si="16"/>
        <v>-70.710678118654684</v>
      </c>
      <c r="AE169">
        <f t="shared" si="17"/>
        <v>-0.7071067811865468</v>
      </c>
      <c r="AF169">
        <f t="shared" si="18"/>
        <v>2475</v>
      </c>
      <c r="AI169" s="2">
        <v>0.83333333333333337</v>
      </c>
      <c r="AJ169" s="4">
        <v>648.95360796159423</v>
      </c>
      <c r="AK169" s="4">
        <v>759.21005590907907</v>
      </c>
      <c r="AL169" s="4">
        <v>881.90092940754141</v>
      </c>
      <c r="AM169" s="4"/>
      <c r="AP169" s="2">
        <v>0.83333333333333337</v>
      </c>
      <c r="AQ169" s="4">
        <v>86.249960014380335</v>
      </c>
      <c r="AR169" s="4">
        <v>87.323579532358409</v>
      </c>
      <c r="AS169" s="4">
        <v>97.937378997532988</v>
      </c>
      <c r="AT169" s="4"/>
      <c r="AW169" s="2">
        <v>0.83333333333333337</v>
      </c>
      <c r="AX169" s="4">
        <v>4.9684919449433123</v>
      </c>
      <c r="AY169" s="4">
        <v>1.4594746572930408</v>
      </c>
      <c r="AZ169" s="4">
        <v>3.6847638242245786</v>
      </c>
      <c r="BA169" s="4"/>
    </row>
    <row r="170" spans="27:53" x14ac:dyDescent="0.25">
      <c r="AA170">
        <f t="shared" ca="1" si="13"/>
        <v>608.00000000000045</v>
      </c>
      <c r="AB170">
        <f t="shared" ca="1" si="14"/>
        <v>8</v>
      </c>
      <c r="AC170">
        <f t="shared" si="15"/>
        <v>650.00000000000023</v>
      </c>
      <c r="AD170">
        <f t="shared" si="16"/>
        <v>-49.999999999999787</v>
      </c>
      <c r="AE170">
        <f t="shared" si="17"/>
        <v>-0.49999999999999789</v>
      </c>
      <c r="AF170">
        <f t="shared" si="18"/>
        <v>2490</v>
      </c>
      <c r="AI170" s="2">
        <v>0.875</v>
      </c>
      <c r="AJ170" s="4">
        <v>644.94536230031758</v>
      </c>
      <c r="AK170" s="4">
        <v>748.5938629265537</v>
      </c>
      <c r="AL170" s="4">
        <v>826.83868859093218</v>
      </c>
      <c r="AM170" s="4"/>
      <c r="AP170" s="2">
        <v>0.875</v>
      </c>
      <c r="AQ170" s="4">
        <v>85.75018148354458</v>
      </c>
      <c r="AR170" s="4">
        <v>86.349021148908676</v>
      </c>
      <c r="AS170" s="4">
        <v>97.184493456123846</v>
      </c>
      <c r="AT170" s="4"/>
      <c r="AW170" s="2">
        <v>0.875</v>
      </c>
      <c r="AX170" s="4">
        <v>5.8518129141781889</v>
      </c>
      <c r="AY170" s="4">
        <v>2.4390616292498795</v>
      </c>
      <c r="AZ170" s="4">
        <v>4.3237046908864674</v>
      </c>
      <c r="BA170" s="4"/>
    </row>
    <row r="171" spans="27:53" x14ac:dyDescent="0.25">
      <c r="AA171">
        <f t="shared" ca="1" si="13"/>
        <v>656.23619097949518</v>
      </c>
      <c r="AB171">
        <f t="shared" ca="1" si="14"/>
        <v>8</v>
      </c>
      <c r="AC171">
        <f t="shared" si="15"/>
        <v>674.11809548974759</v>
      </c>
      <c r="AD171">
        <f t="shared" si="16"/>
        <v>-25.881904510252383</v>
      </c>
      <c r="AE171">
        <f t="shared" si="17"/>
        <v>-0.25881904510252385</v>
      </c>
      <c r="AF171">
        <f t="shared" si="18"/>
        <v>2505</v>
      </c>
      <c r="AI171" s="2">
        <v>0.91666666666666663</v>
      </c>
      <c r="AJ171" s="4">
        <v>591.64638895000439</v>
      </c>
      <c r="AK171" s="4">
        <v>672.44452240678322</v>
      </c>
      <c r="AL171" s="4">
        <v>807.06298935349525</v>
      </c>
      <c r="AM171" s="4"/>
      <c r="AP171" s="2">
        <v>0.91666666666666663</v>
      </c>
      <c r="AQ171" s="4">
        <v>85.627344606028004</v>
      </c>
      <c r="AR171" s="4">
        <v>86.657382394994968</v>
      </c>
      <c r="AS171" s="4">
        <v>96.365261263559759</v>
      </c>
      <c r="AT171" s="4"/>
      <c r="AW171" s="2">
        <v>0.91666666666666663</v>
      </c>
      <c r="AX171" s="4">
        <v>5.0697002430566993</v>
      </c>
      <c r="AY171" s="4">
        <v>2.8750734082721392</v>
      </c>
      <c r="AZ171" s="4">
        <v>4.992078553821556</v>
      </c>
      <c r="BA171" s="4"/>
    </row>
    <row r="172" spans="27:53" x14ac:dyDescent="0.25">
      <c r="AI172" s="2">
        <v>0.95833333333333337</v>
      </c>
      <c r="AJ172" s="4">
        <v>541.40871277145379</v>
      </c>
      <c r="AK172" s="4">
        <v>621.17295353790985</v>
      </c>
      <c r="AL172" s="4">
        <v>713.3401728410181</v>
      </c>
      <c r="AM172" s="4"/>
      <c r="AP172" s="2">
        <v>0.95833333333333337</v>
      </c>
      <c r="AQ172" s="4">
        <v>85.621513800736977</v>
      </c>
      <c r="AR172" s="4">
        <v>86.222493676867543</v>
      </c>
      <c r="AS172" s="4">
        <v>97.224657272519266</v>
      </c>
      <c r="AT172" s="4"/>
      <c r="AW172" s="2">
        <v>0.95833333333333337</v>
      </c>
      <c r="AX172" s="4">
        <v>4.9543771747743985</v>
      </c>
      <c r="AY172" s="4">
        <v>2.0860903076635959</v>
      </c>
      <c r="AZ172" s="4">
        <v>5.4119392423678931</v>
      </c>
      <c r="BA172" s="4"/>
    </row>
    <row r="173" spans="27:53" x14ac:dyDescent="0.25">
      <c r="AH173" s="1" t="s">
        <v>9</v>
      </c>
      <c r="AJ173" s="4">
        <v>88832.861061800679</v>
      </c>
      <c r="AK173" s="4">
        <v>105553.41120241219</v>
      </c>
      <c r="AL173" s="4">
        <v>122643.09094862264</v>
      </c>
      <c r="AM173" s="4"/>
      <c r="AO173" s="1" t="s">
        <v>9</v>
      </c>
      <c r="AQ173" s="4">
        <v>14529.619285501274</v>
      </c>
      <c r="AR173" s="4">
        <v>13987.317039786354</v>
      </c>
      <c r="AS173" s="4">
        <v>15691.432951691522</v>
      </c>
      <c r="AT173" s="4"/>
      <c r="AV173" s="1" t="s">
        <v>9</v>
      </c>
      <c r="AX173" s="4">
        <v>660.36243134060737</v>
      </c>
      <c r="AY173" s="4">
        <v>394.5859967818908</v>
      </c>
      <c r="AZ173" s="4">
        <v>595.12070873103153</v>
      </c>
      <c r="BA173" s="4"/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05"/>
  <sheetViews>
    <sheetView tabSelected="1" topLeftCell="A470" workbookViewId="0">
      <selection activeCell="V495" sqref="V495"/>
    </sheetView>
  </sheetViews>
  <sheetFormatPr defaultRowHeight="15" x14ac:dyDescent="0.25"/>
  <cols>
    <col min="1" max="1" width="10.42578125" bestFit="1" customWidth="1"/>
    <col min="7" max="7" width="12.28515625" bestFit="1" customWidth="1"/>
    <col min="8" max="8" width="9.140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 x14ac:dyDescent="0.25">
      <c r="A2" s="1">
        <v>43466</v>
      </c>
      <c r="B2" s="2">
        <v>0</v>
      </c>
      <c r="C2" t="s">
        <v>6</v>
      </c>
      <c r="D2">
        <v>478.34022202830829</v>
      </c>
      <c r="E2">
        <v>92.677426003748479</v>
      </c>
      <c r="F2">
        <v>4.452721591877097</v>
      </c>
      <c r="G2" s="1" t="str">
        <f>"INSERT INTO tableRegionAnimalTest VALUES (' "&amp;TEXT(A2,"yyyy-mm-dd")&amp;" ',' "&amp;TEXT(B2,"hh:mm")&amp;" ', '"&amp;C2&amp;"', '"&amp;D2&amp;"', '"&amp;E2&amp;"', '"&amp;F2&amp;"');"</f>
        <v>INSERT INTO tableRegionAnimalTest VALUES (' 2019-01-01 ',' 00:00 ', 'Kucing', '478.340222028308', '92.6774260037485', '4.4527215918771');</v>
      </c>
    </row>
    <row r="3" spans="1:7" x14ac:dyDescent="0.25">
      <c r="A3" s="1">
        <v>43466</v>
      </c>
      <c r="B3" s="2">
        <v>4.1666666666665401E-2</v>
      </c>
      <c r="C3" t="s">
        <v>6</v>
      </c>
      <c r="D3">
        <v>411.32864627211205</v>
      </c>
      <c r="E3">
        <f ca="1">IF(E2&gt;=99, -(RAND()*1)+E2, IF(E2&lt;=81, (RAND()*1) +E2, (RAND()*1)* (RANDBETWEEN(0,1)*2-1) +E2))</f>
        <v>92.862851878598391</v>
      </c>
      <c r="F3">
        <f ca="1">IF(F2&gt;=5, -(RAND()*1)+F2, IF(F2&lt;=1, (RAND()*1) +F2, (RAND()*1)* (RANDBETWEEN(0,1)*2-1) +F2))</f>
        <v>4.9421614076255143</v>
      </c>
      <c r="G3" s="1" t="str">
        <f t="shared" ref="G3:G66" ca="1" si="0">"INSERT INTO tableRegionAnimalTest VALUES (' "&amp;TEXT(A3,"yyyy-mm-dd")&amp;" ',' "&amp;TEXT(B3,"hh:mm")&amp;" ', '"&amp;C3&amp;"', '"&amp;D3&amp;"', '"&amp;E3&amp;"', '"&amp;F3&amp;"');"</f>
        <v>INSERT INTO tableRegionAnimalTest VALUES (' 2019-01-01 ',' 01:00 ', 'Kucing', '411.328646272112', '92.8628518785984', '4.94216140762551');</v>
      </c>
    </row>
    <row r="4" spans="1:7" x14ac:dyDescent="0.25">
      <c r="A4" s="1">
        <v>43466</v>
      </c>
      <c r="B4" s="2">
        <v>8.33333333333314E-2</v>
      </c>
      <c r="C4" t="s">
        <v>6</v>
      </c>
      <c r="D4">
        <v>409.08539731870536</v>
      </c>
      <c r="E4">
        <f t="shared" ref="E4:E67" ca="1" si="1">IF(E3&gt;=99, -(RAND()*1)+E3, IF(E3&lt;=81, (RAND()*1) +E3, (RAND()*1)* (RANDBETWEEN(0,1)*2-1) +E3))</f>
        <v>91.987553133512847</v>
      </c>
      <c r="F4">
        <f t="shared" ref="F4:F67" ca="1" si="2">IF(F3&gt;=5, -(RAND()*1)+F3, IF(F3&lt;=1, (RAND()*1) +F3, (RAND()*1)* (RANDBETWEEN(0,1)*2-1) +F3))</f>
        <v>4.0653357693737364</v>
      </c>
      <c r="G4" s="1" t="str">
        <f t="shared" ca="1" si="0"/>
        <v>INSERT INTO tableRegionAnimalTest VALUES (' 2019-01-01 ',' 02:00 ', 'Kucing', '409.085397318705', '91.9875531335128', '4.06533576937374');</v>
      </c>
    </row>
    <row r="5" spans="1:7" x14ac:dyDescent="0.25">
      <c r="A5" s="1">
        <v>43466</v>
      </c>
      <c r="B5" s="2">
        <v>0.124999999999998</v>
      </c>
      <c r="C5" t="s">
        <v>6</v>
      </c>
      <c r="D5">
        <v>341.66296143097981</v>
      </c>
      <c r="E5">
        <f t="shared" ca="1" si="1"/>
        <v>91.933754100091249</v>
      </c>
      <c r="F5">
        <f t="shared" ca="1" si="2"/>
        <v>3.8918340042924924</v>
      </c>
      <c r="G5" s="1" t="str">
        <f t="shared" ca="1" si="0"/>
        <v>INSERT INTO tableRegionAnimalTest VALUES (' 2019-01-01 ',' 03:00 ', 'Kucing', '341.66296143098', '91.9337541000912', '3.89183400429249');</v>
      </c>
    </row>
    <row r="6" spans="1:7" x14ac:dyDescent="0.25">
      <c r="A6" s="1">
        <v>43466</v>
      </c>
      <c r="B6" s="2">
        <v>0.16666666666666499</v>
      </c>
      <c r="C6" t="s">
        <v>6</v>
      </c>
      <c r="D6">
        <v>309.97658404853541</v>
      </c>
      <c r="E6">
        <f t="shared" ca="1" si="1"/>
        <v>91.64141434185693</v>
      </c>
      <c r="F6">
        <f t="shared" ca="1" si="2"/>
        <v>4.4759002799003129</v>
      </c>
      <c r="G6" s="1" t="str">
        <f t="shared" ca="1" si="0"/>
        <v>INSERT INTO tableRegionAnimalTest VALUES (' 2019-01-01 ',' 04:00 ', 'Kucing', '309.976584048535', '91.6414143418569', '4.47590027990031');</v>
      </c>
    </row>
    <row r="7" spans="1:7" x14ac:dyDescent="0.25">
      <c r="A7" s="1">
        <v>43466</v>
      </c>
      <c r="B7" s="2">
        <v>0.20833333333333201</v>
      </c>
      <c r="C7" t="s">
        <v>6</v>
      </c>
      <c r="D7">
        <v>330.10875599758583</v>
      </c>
      <c r="E7">
        <f t="shared" ca="1" si="1"/>
        <v>90.784706121981543</v>
      </c>
      <c r="F7">
        <f t="shared" ca="1" si="2"/>
        <v>3.6181881299010961</v>
      </c>
      <c r="G7" s="1" t="str">
        <f t="shared" ca="1" si="0"/>
        <v>INSERT INTO tableRegionAnimalTest VALUES (' 2019-01-01 ',' 05:00 ', 'Kucing', '330.108755997586', '90.7847061219815', '3.6181881299011');</v>
      </c>
    </row>
    <row r="8" spans="1:7" x14ac:dyDescent="0.25">
      <c r="A8" s="1">
        <v>43466</v>
      </c>
      <c r="B8" s="2">
        <v>0.249999999999998</v>
      </c>
      <c r="C8" t="s">
        <v>6</v>
      </c>
      <c r="D8">
        <v>361.68911220123488</v>
      </c>
      <c r="E8">
        <f t="shared" ca="1" si="1"/>
        <v>91.617781761367283</v>
      </c>
      <c r="F8">
        <f t="shared" ca="1" si="2"/>
        <v>4.5211223064055019</v>
      </c>
      <c r="G8" s="1" t="str">
        <f t="shared" ca="1" si="0"/>
        <v>INSERT INTO tableRegionAnimalTest VALUES (' 2019-01-01 ',' 06:00 ', 'Kucing', '361.689112201235', '91.6177817613673', '4.5211223064055');</v>
      </c>
    </row>
    <row r="9" spans="1:7" x14ac:dyDescent="0.25">
      <c r="A9" s="1">
        <v>43466</v>
      </c>
      <c r="B9" s="2">
        <v>0.29166666666666502</v>
      </c>
      <c r="C9" t="s">
        <v>6</v>
      </c>
      <c r="D9">
        <v>365.94214591249903</v>
      </c>
      <c r="E9">
        <f t="shared" ca="1" si="1"/>
        <v>92.308383618539509</v>
      </c>
      <c r="F9">
        <f t="shared" ca="1" si="2"/>
        <v>4.5278419225066102</v>
      </c>
      <c r="G9" s="1" t="str">
        <f t="shared" ca="1" si="0"/>
        <v>INSERT INTO tableRegionAnimalTest VALUES (' 2019-01-01 ',' 07:00 ', 'Kucing', '365.942145912499', '92.3083836185395', '4.52784192250661');</v>
      </c>
    </row>
    <row r="10" spans="1:7" x14ac:dyDescent="0.25">
      <c r="A10" s="1">
        <v>43466</v>
      </c>
      <c r="B10" s="2">
        <v>0.33333333333333198</v>
      </c>
      <c r="C10" t="s">
        <v>6</v>
      </c>
      <c r="D10">
        <v>386.32303024835028</v>
      </c>
      <c r="E10">
        <f t="shared" ca="1" si="1"/>
        <v>91.78932497325637</v>
      </c>
      <c r="F10">
        <f t="shared" ca="1" si="2"/>
        <v>3.894514997073149</v>
      </c>
      <c r="G10" s="1" t="str">
        <f t="shared" ca="1" si="0"/>
        <v>INSERT INTO tableRegionAnimalTest VALUES (' 2019-01-01 ',' 08:00 ', 'Kucing', '386.32303024835', '91.7893249732564', '3.89451499707315');</v>
      </c>
    </row>
    <row r="11" spans="1:7" x14ac:dyDescent="0.25">
      <c r="A11" s="1">
        <v>43466</v>
      </c>
      <c r="B11" s="2">
        <v>0.374999999999999</v>
      </c>
      <c r="C11" t="s">
        <v>6</v>
      </c>
      <c r="D11">
        <v>448.11990742539206</v>
      </c>
      <c r="E11">
        <f t="shared" ca="1" si="1"/>
        <v>90.977283133322118</v>
      </c>
      <c r="F11">
        <f t="shared" ca="1" si="2"/>
        <v>3.5194300558564677</v>
      </c>
      <c r="G11" s="1" t="str">
        <f t="shared" ca="1" si="0"/>
        <v>INSERT INTO tableRegionAnimalTest VALUES (' 2019-01-01 ',' 09:00 ', 'Kucing', '448.119907425392', '90.9772831333221', '3.51943005585647');</v>
      </c>
    </row>
    <row r="12" spans="1:7" x14ac:dyDescent="0.25">
      <c r="A12" s="1">
        <v>43466</v>
      </c>
      <c r="B12" s="2">
        <v>0.41666666666666502</v>
      </c>
      <c r="C12" t="s">
        <v>6</v>
      </c>
      <c r="D12">
        <v>475.36732292645223</v>
      </c>
      <c r="E12">
        <f t="shared" ca="1" si="1"/>
        <v>90.570507588510878</v>
      </c>
      <c r="F12">
        <f t="shared" ca="1" si="2"/>
        <v>3.3335681433119273</v>
      </c>
      <c r="G12" s="1" t="str">
        <f t="shared" ca="1" si="0"/>
        <v>INSERT INTO tableRegionAnimalTest VALUES (' 2019-01-01 ',' 10:00 ', 'Kucing', '475.367322926452', '90.5705075885109', '3.33356814331193');</v>
      </c>
    </row>
    <row r="13" spans="1:7" x14ac:dyDescent="0.25">
      <c r="A13" s="1">
        <v>43466</v>
      </c>
      <c r="B13" s="2">
        <v>0.45833333333333198</v>
      </c>
      <c r="C13" t="s">
        <v>6</v>
      </c>
      <c r="D13">
        <v>513.06760006944819</v>
      </c>
      <c r="E13">
        <f t="shared" ca="1" si="1"/>
        <v>89.952514367916152</v>
      </c>
      <c r="F13">
        <f t="shared" ca="1" si="2"/>
        <v>4.0430395544089182</v>
      </c>
      <c r="G13" s="1" t="str">
        <f t="shared" ca="1" si="0"/>
        <v>INSERT INTO tableRegionAnimalTest VALUES (' 2019-01-01 ',' 11:00 ', 'Kucing', '513.067600069448', '89.9525143679162', '4.04303955440892');</v>
      </c>
    </row>
    <row r="14" spans="1:7" x14ac:dyDescent="0.25">
      <c r="A14" s="1">
        <v>43466</v>
      </c>
      <c r="B14" s="2">
        <v>0.499999999999999</v>
      </c>
      <c r="C14" t="s">
        <v>6</v>
      </c>
      <c r="D14">
        <v>569.87419319905439</v>
      </c>
      <c r="E14">
        <f t="shared" ca="1" si="1"/>
        <v>90.647386655105009</v>
      </c>
      <c r="F14">
        <f t="shared" ca="1" si="2"/>
        <v>4.6590863851967832</v>
      </c>
      <c r="G14" s="1" t="str">
        <f t="shared" ca="1" si="0"/>
        <v>INSERT INTO tableRegionAnimalTest VALUES (' 2019-01-01 ',' 12:00 ', 'Kucing', '569.874193199054', '90.647386655105', '4.65908638519678');</v>
      </c>
    </row>
    <row r="15" spans="1:7" x14ac:dyDescent="0.25">
      <c r="A15" s="1">
        <v>43466</v>
      </c>
      <c r="B15" s="2">
        <v>0.54166666666666596</v>
      </c>
      <c r="C15" t="s">
        <v>6</v>
      </c>
      <c r="D15">
        <v>609.46909743474214</v>
      </c>
      <c r="E15">
        <f t="shared" ca="1" si="1"/>
        <v>90.291562737453745</v>
      </c>
      <c r="F15">
        <f t="shared" ca="1" si="2"/>
        <v>5.4002787455375376</v>
      </c>
      <c r="G15" s="1" t="str">
        <f t="shared" ca="1" si="0"/>
        <v>INSERT INTO tableRegionAnimalTest VALUES (' 2019-01-01 ',' 13:00 ', 'Kucing', '609.469097434742', '90.2915627374537', '5.40027874553754');</v>
      </c>
    </row>
    <row r="16" spans="1:7" x14ac:dyDescent="0.25">
      <c r="A16" s="1">
        <v>43466</v>
      </c>
      <c r="B16" s="2">
        <v>0.58333333333333204</v>
      </c>
      <c r="C16" t="s">
        <v>6</v>
      </c>
      <c r="D16">
        <v>643.30257930236519</v>
      </c>
      <c r="E16">
        <f t="shared" ca="1" si="1"/>
        <v>90.695760158685843</v>
      </c>
      <c r="F16">
        <f t="shared" ca="1" si="2"/>
        <v>5.2002663633289234</v>
      </c>
      <c r="G16" s="1" t="str">
        <f t="shared" ca="1" si="0"/>
        <v>INSERT INTO tableRegionAnimalTest VALUES (' 2019-01-01 ',' 14:00 ', 'Kucing', '643.302579302365', '90.6957601586858', '5.20026636332892');</v>
      </c>
    </row>
    <row r="17" spans="1:7" x14ac:dyDescent="0.25">
      <c r="A17" s="1">
        <v>43466</v>
      </c>
      <c r="B17" s="2">
        <v>0.624999999999999</v>
      </c>
      <c r="C17" t="s">
        <v>6</v>
      </c>
      <c r="D17">
        <v>682.60243411628846</v>
      </c>
      <c r="E17">
        <f t="shared" ca="1" si="1"/>
        <v>90.25083955275332</v>
      </c>
      <c r="F17">
        <f t="shared" ca="1" si="2"/>
        <v>4.2183665585630985</v>
      </c>
      <c r="G17" s="1" t="str">
        <f t="shared" ca="1" si="0"/>
        <v>INSERT INTO tableRegionAnimalTest VALUES (' 2019-01-01 ',' 15:00 ', 'Kucing', '682.602434116288', '90.2508395527533', '4.2183665585631');</v>
      </c>
    </row>
    <row r="18" spans="1:7" x14ac:dyDescent="0.25">
      <c r="A18" s="1">
        <v>43466</v>
      </c>
      <c r="B18" s="2">
        <v>0.66666666666666596</v>
      </c>
      <c r="C18" t="s">
        <v>6</v>
      </c>
      <c r="D18">
        <v>740.84577952723055</v>
      </c>
      <c r="E18">
        <f t="shared" ca="1" si="1"/>
        <v>89.890132428482573</v>
      </c>
      <c r="F18">
        <f t="shared" ca="1" si="2"/>
        <v>3.9157882883058743</v>
      </c>
      <c r="G18" s="1" t="str">
        <f t="shared" ca="1" si="0"/>
        <v>INSERT INTO tableRegionAnimalTest VALUES (' 2019-01-01 ',' 16:00 ', 'Kucing', '740.845779527231', '89.8901324284826', '3.91578828830587');</v>
      </c>
    </row>
    <row r="19" spans="1:7" x14ac:dyDescent="0.25">
      <c r="A19" s="1">
        <v>43466</v>
      </c>
      <c r="B19" s="2">
        <v>0.70833333333333304</v>
      </c>
      <c r="C19" t="s">
        <v>6</v>
      </c>
      <c r="D19">
        <v>717.40957172498281</v>
      </c>
      <c r="E19">
        <f t="shared" ca="1" si="1"/>
        <v>90.459101734613284</v>
      </c>
      <c r="F19">
        <f t="shared" ca="1" si="2"/>
        <v>3.9974123004666886</v>
      </c>
      <c r="G19" s="1" t="str">
        <f t="shared" ca="1" si="0"/>
        <v>INSERT INTO tableRegionAnimalTest VALUES (' 2019-01-01 ',' 17:00 ', 'Kucing', '717.409571724983', '90.4591017346133', '3.99741230046669');</v>
      </c>
    </row>
    <row r="20" spans="1:7" x14ac:dyDescent="0.25">
      <c r="A20" s="1">
        <v>43466</v>
      </c>
      <c r="B20" s="2">
        <v>0.749999999999999</v>
      </c>
      <c r="C20" t="s">
        <v>6</v>
      </c>
      <c r="D20">
        <v>696.751814477724</v>
      </c>
      <c r="E20">
        <f t="shared" ca="1" si="1"/>
        <v>90.199089408837693</v>
      </c>
      <c r="F20">
        <f t="shared" ca="1" si="2"/>
        <v>3.144070370629473</v>
      </c>
      <c r="G20" s="1" t="str">
        <f t="shared" ca="1" si="0"/>
        <v>INSERT INTO tableRegionAnimalTest VALUES (' 2019-01-01 ',' 18:00 ', 'Kucing', '696.751814477724', '90.1990894088377', '3.14407037062947');</v>
      </c>
    </row>
    <row r="21" spans="1:7" x14ac:dyDescent="0.25">
      <c r="A21" s="1">
        <v>43466</v>
      </c>
      <c r="B21" s="2">
        <v>0.79166666666666596</v>
      </c>
      <c r="C21" t="s">
        <v>6</v>
      </c>
      <c r="D21">
        <v>679.01388603790986</v>
      </c>
      <c r="E21">
        <f t="shared" ca="1" si="1"/>
        <v>89.656645848176495</v>
      </c>
      <c r="F21">
        <f t="shared" ca="1" si="2"/>
        <v>4.0512284471692066</v>
      </c>
      <c r="G21" s="1" t="str">
        <f t="shared" ca="1" si="0"/>
        <v>INSERT INTO tableRegionAnimalTest VALUES (' 2019-01-01 ',' 19:00 ', 'Kucing', '679.01388603791', '89.6566458481765', '4.05122844716921');</v>
      </c>
    </row>
    <row r="22" spans="1:7" x14ac:dyDescent="0.25">
      <c r="A22" s="1">
        <v>43466</v>
      </c>
      <c r="B22" s="2">
        <v>0.83333333333333304</v>
      </c>
      <c r="C22" t="s">
        <v>6</v>
      </c>
      <c r="D22">
        <v>652.15483911147385</v>
      </c>
      <c r="E22">
        <f t="shared" ca="1" si="1"/>
        <v>90.258302892728892</v>
      </c>
      <c r="F22">
        <f t="shared" ca="1" si="2"/>
        <v>4.764368892316913</v>
      </c>
      <c r="G22" s="1" t="str">
        <f t="shared" ca="1" si="0"/>
        <v>INSERT INTO tableRegionAnimalTest VALUES (' 2019-01-01 ',' 20:00 ', 'Kucing', '652.154839111474', '90.2583028927289', '4.76436889231691');</v>
      </c>
    </row>
    <row r="23" spans="1:7" x14ac:dyDescent="0.25">
      <c r="A23" s="1">
        <v>43466</v>
      </c>
      <c r="B23" s="2">
        <v>0.875</v>
      </c>
      <c r="C23" t="s">
        <v>6</v>
      </c>
      <c r="D23">
        <v>614.82745399672069</v>
      </c>
      <c r="E23">
        <f t="shared" ca="1" si="1"/>
        <v>90.135185317306906</v>
      </c>
      <c r="F23">
        <f t="shared" ca="1" si="2"/>
        <v>5.0772905948919353</v>
      </c>
      <c r="G23" s="1" t="str">
        <f t="shared" ca="1" si="0"/>
        <v>INSERT INTO tableRegionAnimalTest VALUES (' 2019-01-01 ',' 21:00 ', 'Kucing', '614.827453996721', '90.1351853173069', '5.07729059489194');</v>
      </c>
    </row>
    <row r="24" spans="1:7" x14ac:dyDescent="0.25">
      <c r="A24" s="1">
        <v>43466</v>
      </c>
      <c r="B24" s="2">
        <v>0.91666666666666663</v>
      </c>
      <c r="C24" t="s">
        <v>6</v>
      </c>
      <c r="D24">
        <v>555.77411819127701</v>
      </c>
      <c r="E24">
        <f t="shared" ca="1" si="1"/>
        <v>90.368430800148445</v>
      </c>
      <c r="F24">
        <f t="shared" ca="1" si="2"/>
        <v>4.3654084656312335</v>
      </c>
      <c r="G24" s="1" t="str">
        <f t="shared" ca="1" si="0"/>
        <v>INSERT INTO tableRegionAnimalTest VALUES (' 2019-01-01 ',' 22:00 ', 'Kucing', '555.774118191277', '90.3684308001484', '4.36540846563123');</v>
      </c>
    </row>
    <row r="25" spans="1:7" x14ac:dyDescent="0.25">
      <c r="A25" s="1">
        <v>43466</v>
      </c>
      <c r="B25" s="2">
        <v>0.95833333333333337</v>
      </c>
      <c r="C25" t="s">
        <v>6</v>
      </c>
      <c r="D25">
        <v>521.94360331891676</v>
      </c>
      <c r="E25">
        <f t="shared" ca="1" si="1"/>
        <v>89.724825145326605</v>
      </c>
      <c r="F25">
        <f t="shared" ca="1" si="2"/>
        <v>4.4556642572899809</v>
      </c>
      <c r="G25" s="1" t="str">
        <f t="shared" ca="1" si="0"/>
        <v>INSERT INTO tableRegionAnimalTest VALUES (' 2019-01-01 ',' 23:00 ', 'Kucing', '521.943603318917', '89.7248251453266', '4.45566425728998');</v>
      </c>
    </row>
    <row r="26" spans="1:7" x14ac:dyDescent="0.25">
      <c r="A26" s="1">
        <v>43467</v>
      </c>
      <c r="B26" s="2">
        <v>0</v>
      </c>
      <c r="C26" t="s">
        <v>6</v>
      </c>
      <c r="D26">
        <v>458.90575398125117</v>
      </c>
      <c r="E26">
        <f t="shared" ca="1" si="1"/>
        <v>88.762125799347018</v>
      </c>
      <c r="F26">
        <f t="shared" ca="1" si="2"/>
        <v>3.8486210449699807</v>
      </c>
      <c r="G26" s="1" t="str">
        <f t="shared" ca="1" si="0"/>
        <v>INSERT INTO tableRegionAnimalTest VALUES (' 2019-01-02 ',' 00:00 ', 'Kucing', '458.905753981251', '88.762125799347', '3.84862104496998');</v>
      </c>
    </row>
    <row r="27" spans="1:7" x14ac:dyDescent="0.25">
      <c r="A27" s="1">
        <v>43467</v>
      </c>
      <c r="B27" s="2">
        <v>4.1666666666665401E-2</v>
      </c>
      <c r="C27" t="s">
        <v>6</v>
      </c>
      <c r="D27">
        <v>406.85767445675464</v>
      </c>
      <c r="E27">
        <f t="shared" ca="1" si="1"/>
        <v>88.057440367236367</v>
      </c>
      <c r="F27">
        <f t="shared" ca="1" si="2"/>
        <v>4.061746123326353</v>
      </c>
      <c r="G27" s="1" t="str">
        <f t="shared" ca="1" si="0"/>
        <v>INSERT INTO tableRegionAnimalTest VALUES (' 2019-01-02 ',' 01:00 ', 'Kucing', '406.857674456755', '88.0574403672364', '4.06174612332635');</v>
      </c>
    </row>
    <row r="28" spans="1:7" x14ac:dyDescent="0.25">
      <c r="A28" s="1">
        <v>43467</v>
      </c>
      <c r="B28" s="2">
        <v>8.33333333333314E-2</v>
      </c>
      <c r="C28" t="s">
        <v>6</v>
      </c>
      <c r="D28">
        <v>384.99331308705507</v>
      </c>
      <c r="E28">
        <f t="shared" ca="1" si="1"/>
        <v>88.515801444002648</v>
      </c>
      <c r="F28">
        <f t="shared" ca="1" si="2"/>
        <v>4.068006503792458</v>
      </c>
      <c r="G28" s="1" t="str">
        <f t="shared" ca="1" si="0"/>
        <v>INSERT INTO tableRegionAnimalTest VALUES (' 2019-01-02 ',' 02:00 ', 'Kucing', '384.993313087055', '88.5158014440026', '4.06800650379246');</v>
      </c>
    </row>
    <row r="29" spans="1:7" x14ac:dyDescent="0.25">
      <c r="A29" s="1">
        <v>43467</v>
      </c>
      <c r="B29" s="2">
        <v>0.124999999999998</v>
      </c>
      <c r="C29" t="s">
        <v>6</v>
      </c>
      <c r="D29">
        <v>386.40952701730242</v>
      </c>
      <c r="E29">
        <f t="shared" ca="1" si="1"/>
        <v>87.689111019392655</v>
      </c>
      <c r="F29">
        <f t="shared" ca="1" si="2"/>
        <v>3.5283408643402883</v>
      </c>
      <c r="G29" s="1" t="str">
        <f t="shared" ca="1" si="0"/>
        <v>INSERT INTO tableRegionAnimalTest VALUES (' 2019-01-02 ',' 03:00 ', 'Kucing', '386.409527017302', '87.6891110193927', '3.52834086434029');</v>
      </c>
    </row>
    <row r="30" spans="1:7" x14ac:dyDescent="0.25">
      <c r="A30" s="1">
        <v>43467</v>
      </c>
      <c r="B30" s="2">
        <v>0.16666666666666499</v>
      </c>
      <c r="C30" t="s">
        <v>6</v>
      </c>
      <c r="D30">
        <v>332.9406517936917</v>
      </c>
      <c r="E30">
        <f t="shared" ca="1" si="1"/>
        <v>87.560424637917578</v>
      </c>
      <c r="F30">
        <f t="shared" ca="1" si="2"/>
        <v>2.8493217442962187</v>
      </c>
      <c r="G30" s="1" t="str">
        <f t="shared" ca="1" si="0"/>
        <v>INSERT INTO tableRegionAnimalTest VALUES (' 2019-01-02 ',' 04:00 ', 'Kucing', '332.940651793692', '87.5604246379176', '2.84932174429622');</v>
      </c>
    </row>
    <row r="31" spans="1:7" x14ac:dyDescent="0.25">
      <c r="A31" s="1">
        <v>43467</v>
      </c>
      <c r="B31" s="2">
        <v>0.20833333333333201</v>
      </c>
      <c r="C31" t="s">
        <v>6</v>
      </c>
      <c r="D31">
        <v>312.95514817942109</v>
      </c>
      <c r="E31">
        <f t="shared" ca="1" si="1"/>
        <v>86.79533995720702</v>
      </c>
      <c r="F31">
        <f t="shared" ca="1" si="2"/>
        <v>3.1222430468972977</v>
      </c>
      <c r="G31" s="1" t="str">
        <f t="shared" ca="1" si="0"/>
        <v>INSERT INTO tableRegionAnimalTest VALUES (' 2019-01-02 ',' 05:00 ', 'Kucing', '312.955148179421', '86.795339957207', '3.1222430468973');</v>
      </c>
    </row>
    <row r="32" spans="1:7" x14ac:dyDescent="0.25">
      <c r="A32" s="1">
        <v>43467</v>
      </c>
      <c r="B32" s="2">
        <v>0.249999999999998</v>
      </c>
      <c r="C32" t="s">
        <v>6</v>
      </c>
      <c r="D32">
        <v>343.34646882056035</v>
      </c>
      <c r="E32">
        <f t="shared" ca="1" si="1"/>
        <v>86.249394445823242</v>
      </c>
      <c r="F32">
        <f t="shared" ca="1" si="2"/>
        <v>2.2258990147320987</v>
      </c>
      <c r="G32" s="1" t="str">
        <f t="shared" ca="1" si="0"/>
        <v>INSERT INTO tableRegionAnimalTest VALUES (' 2019-01-02 ',' 06:00 ', 'Kucing', '343.34646882056', '86.2493944458232', '2.2258990147321');</v>
      </c>
    </row>
    <row r="33" spans="1:7" x14ac:dyDescent="0.25">
      <c r="A33" s="1">
        <v>43467</v>
      </c>
      <c r="B33" s="2">
        <v>0.29166666666666502</v>
      </c>
      <c r="C33" t="s">
        <v>6</v>
      </c>
      <c r="D33">
        <v>381.96701279556646</v>
      </c>
      <c r="E33">
        <f t="shared" ca="1" si="1"/>
        <v>86.773760888008624</v>
      </c>
      <c r="F33">
        <f t="shared" ca="1" si="2"/>
        <v>2.991791446728894</v>
      </c>
      <c r="G33" s="1" t="str">
        <f t="shared" ca="1" si="0"/>
        <v>INSERT INTO tableRegionAnimalTest VALUES (' 2019-01-02 ',' 07:00 ', 'Kucing', '381.967012795566', '86.7737608880086', '2.99179144672889');</v>
      </c>
    </row>
    <row r="34" spans="1:7" x14ac:dyDescent="0.25">
      <c r="A34" s="1">
        <v>43467</v>
      </c>
      <c r="B34" s="2">
        <v>0.33333333333333198</v>
      </c>
      <c r="C34" t="s">
        <v>6</v>
      </c>
      <c r="D34">
        <v>369.55965135526651</v>
      </c>
      <c r="E34">
        <f t="shared" ca="1" si="1"/>
        <v>87.253849539341815</v>
      </c>
      <c r="F34">
        <f t="shared" ca="1" si="2"/>
        <v>3.2850920723022043</v>
      </c>
      <c r="G34" s="1" t="str">
        <f t="shared" ca="1" si="0"/>
        <v>INSERT INTO tableRegionAnimalTest VALUES (' 2019-01-02 ',' 08:00 ', 'Kucing', '369.559651355267', '87.2538495393418', '3.2850920723022');</v>
      </c>
    </row>
    <row r="35" spans="1:7" x14ac:dyDescent="0.25">
      <c r="A35" s="1">
        <v>43467</v>
      </c>
      <c r="B35" s="2">
        <v>0.374999999999999</v>
      </c>
      <c r="C35" t="s">
        <v>6</v>
      </c>
      <c r="D35">
        <v>437.99199495227708</v>
      </c>
      <c r="E35">
        <f t="shared" ca="1" si="1"/>
        <v>87.283926112165162</v>
      </c>
      <c r="F35">
        <f t="shared" ca="1" si="2"/>
        <v>2.6548167260478932</v>
      </c>
      <c r="G35" s="1" t="str">
        <f t="shared" ca="1" si="0"/>
        <v>INSERT INTO tableRegionAnimalTest VALUES (' 2019-01-02 ',' 09:00 ', 'Kucing', '437.991994952277', '87.2839261121652', '2.65481672604789');</v>
      </c>
    </row>
    <row r="36" spans="1:7" x14ac:dyDescent="0.25">
      <c r="A36" s="1">
        <v>43467</v>
      </c>
      <c r="B36" s="2">
        <v>0.41666666666666502</v>
      </c>
      <c r="C36" t="s">
        <v>6</v>
      </c>
      <c r="D36">
        <v>480.29307643014579</v>
      </c>
      <c r="E36">
        <f t="shared" ca="1" si="1"/>
        <v>86.748996661529318</v>
      </c>
      <c r="F36">
        <f t="shared" ca="1" si="2"/>
        <v>2.8798730767639111</v>
      </c>
      <c r="G36" s="1" t="str">
        <f t="shared" ca="1" si="0"/>
        <v>INSERT INTO tableRegionAnimalTest VALUES (' 2019-01-02 ',' 10:00 ', 'Kucing', '480.293076430146', '86.7489966615293', '2.87987307676391');</v>
      </c>
    </row>
    <row r="37" spans="1:7" x14ac:dyDescent="0.25">
      <c r="A37" s="1">
        <v>43467</v>
      </c>
      <c r="B37" s="2">
        <v>0.45833333333333198</v>
      </c>
      <c r="C37" t="s">
        <v>6</v>
      </c>
      <c r="D37">
        <v>512.60202642736954</v>
      </c>
      <c r="E37">
        <f t="shared" ca="1" si="1"/>
        <v>87.249402366870456</v>
      </c>
      <c r="F37">
        <f t="shared" ca="1" si="2"/>
        <v>3.1568796828712613</v>
      </c>
      <c r="G37" s="1" t="str">
        <f t="shared" ca="1" si="0"/>
        <v>INSERT INTO tableRegionAnimalTest VALUES (' 2019-01-02 ',' 11:00 ', 'Kucing', '512.60202642737', '87.2494023668705', '3.15687968287126');</v>
      </c>
    </row>
    <row r="38" spans="1:7" x14ac:dyDescent="0.25">
      <c r="A38" s="1">
        <v>43467</v>
      </c>
      <c r="B38" s="2">
        <v>0.499999999999999</v>
      </c>
      <c r="C38" t="s">
        <v>6</v>
      </c>
      <c r="D38">
        <v>550.78949983836162</v>
      </c>
      <c r="E38">
        <f t="shared" ca="1" si="1"/>
        <v>87.989065714097151</v>
      </c>
      <c r="F38">
        <f t="shared" ca="1" si="2"/>
        <v>3.3322175639580429</v>
      </c>
      <c r="G38" s="1" t="str">
        <f t="shared" ca="1" si="0"/>
        <v>INSERT INTO tableRegionAnimalTest VALUES (' 2019-01-02 ',' 12:00 ', 'Kucing', '550.789499838362', '87.9890657140972', '3.33221756395804');</v>
      </c>
    </row>
    <row r="39" spans="1:7" x14ac:dyDescent="0.25">
      <c r="A39" s="1">
        <v>43467</v>
      </c>
      <c r="B39" s="2">
        <v>0.54166666666666596</v>
      </c>
      <c r="C39" t="s">
        <v>6</v>
      </c>
      <c r="D39">
        <v>597.66617159497628</v>
      </c>
      <c r="E39">
        <f t="shared" ca="1" si="1"/>
        <v>87.116184826275344</v>
      </c>
      <c r="F39">
        <f t="shared" ca="1" si="2"/>
        <v>2.8123411037921753</v>
      </c>
      <c r="G39" s="1" t="str">
        <f t="shared" ca="1" si="0"/>
        <v>INSERT INTO tableRegionAnimalTest VALUES (' 2019-01-02 ',' 13:00 ', 'Kucing', '597.666171594976', '87.1161848262753', '2.81234110379218');</v>
      </c>
    </row>
    <row r="40" spans="1:7" x14ac:dyDescent="0.25">
      <c r="A40" s="1">
        <v>43467</v>
      </c>
      <c r="B40" s="2">
        <v>0.58333333333333204</v>
      </c>
      <c r="C40" t="s">
        <v>6</v>
      </c>
      <c r="D40">
        <v>672.98010647195349</v>
      </c>
      <c r="E40">
        <f t="shared" ca="1" si="1"/>
        <v>86.624507589852016</v>
      </c>
      <c r="F40">
        <f t="shared" ca="1" si="2"/>
        <v>3.7048986451061334</v>
      </c>
      <c r="G40" s="1" t="str">
        <f t="shared" ca="1" si="0"/>
        <v>INSERT INTO tableRegionAnimalTest VALUES (' 2019-01-02 ',' 14:00 ', 'Kucing', '672.980106471953', '86.624507589852', '3.70489864510613');</v>
      </c>
    </row>
    <row r="41" spans="1:7" x14ac:dyDescent="0.25">
      <c r="A41" s="1">
        <v>43467</v>
      </c>
      <c r="B41" s="2">
        <v>0.624999999999999</v>
      </c>
      <c r="C41" t="s">
        <v>6</v>
      </c>
      <c r="D41">
        <v>680.12401061424077</v>
      </c>
      <c r="E41">
        <f t="shared" ca="1" si="1"/>
        <v>86.873923057027667</v>
      </c>
      <c r="F41">
        <f t="shared" ca="1" si="2"/>
        <v>4.0674502506225494</v>
      </c>
      <c r="G41" s="1" t="str">
        <f t="shared" ca="1" si="0"/>
        <v>INSERT INTO tableRegionAnimalTest VALUES (' 2019-01-02 ',' 15:00 ', 'Kucing', '680.124010614241', '86.8739230570277', '4.06745025062255');</v>
      </c>
    </row>
    <row r="42" spans="1:7" x14ac:dyDescent="0.25">
      <c r="A42" s="1">
        <v>43467</v>
      </c>
      <c r="B42" s="2">
        <v>0.66666666666666596</v>
      </c>
      <c r="C42" t="s">
        <v>6</v>
      </c>
      <c r="D42">
        <v>689.51448620440328</v>
      </c>
      <c r="E42">
        <f t="shared" ca="1" si="1"/>
        <v>86.41754488799981</v>
      </c>
      <c r="F42">
        <f t="shared" ca="1" si="2"/>
        <v>4.4745335717616808</v>
      </c>
      <c r="G42" s="1" t="str">
        <f t="shared" ca="1" si="0"/>
        <v>INSERT INTO tableRegionAnimalTest VALUES (' 2019-01-02 ',' 16:00 ', 'Kucing', '689.514486204403', '86.4175448879998', '4.47453357176168');</v>
      </c>
    </row>
    <row r="43" spans="1:7" x14ac:dyDescent="0.25">
      <c r="A43" s="1">
        <v>43467</v>
      </c>
      <c r="B43" s="2">
        <v>0.70833333333333304</v>
      </c>
      <c r="C43" t="s">
        <v>6</v>
      </c>
      <c r="D43">
        <v>735.03553503520709</v>
      </c>
      <c r="E43">
        <f t="shared" ca="1" si="1"/>
        <v>86.361198902520314</v>
      </c>
      <c r="F43">
        <f t="shared" ca="1" si="2"/>
        <v>3.7660643767164301</v>
      </c>
      <c r="G43" s="1" t="str">
        <f t="shared" ca="1" si="0"/>
        <v>INSERT INTO tableRegionAnimalTest VALUES (' 2019-01-02 ',' 17:00 ', 'Kucing', '735.035535035207', '86.3611989025203', '3.76606437671643');</v>
      </c>
    </row>
    <row r="44" spans="1:7" x14ac:dyDescent="0.25">
      <c r="A44" s="1">
        <v>43467</v>
      </c>
      <c r="B44" s="2">
        <v>0.749999999999999</v>
      </c>
      <c r="C44" t="s">
        <v>6</v>
      </c>
      <c r="D44">
        <v>731.14189780828531</v>
      </c>
      <c r="E44">
        <f t="shared" ca="1" si="1"/>
        <v>87.248676530223463</v>
      </c>
      <c r="F44">
        <f t="shared" ca="1" si="2"/>
        <v>3.4879889619236004</v>
      </c>
      <c r="G44" s="1" t="str">
        <f t="shared" ca="1" si="0"/>
        <v>INSERT INTO tableRegionAnimalTest VALUES (' 2019-01-02 ',' 18:00 ', 'Kucing', '731.141897808285', '87.2486765302235', '3.4879889619236');</v>
      </c>
    </row>
    <row r="45" spans="1:7" x14ac:dyDescent="0.25">
      <c r="A45" s="1">
        <v>43467</v>
      </c>
      <c r="B45" s="2">
        <v>0.79166666666666596</v>
      </c>
      <c r="C45" t="s">
        <v>6</v>
      </c>
      <c r="D45">
        <v>711.02864219292769</v>
      </c>
      <c r="E45">
        <f t="shared" ca="1" si="1"/>
        <v>86.667655365153124</v>
      </c>
      <c r="F45">
        <f t="shared" ca="1" si="2"/>
        <v>2.7732267938771376</v>
      </c>
      <c r="G45" s="1" t="str">
        <f t="shared" ca="1" si="0"/>
        <v>INSERT INTO tableRegionAnimalTest VALUES (' 2019-01-02 ',' 19:00 ', 'Kucing', '711.028642192928', '86.6676553651531', '2.77322679387714');</v>
      </c>
    </row>
    <row r="46" spans="1:7" x14ac:dyDescent="0.25">
      <c r="A46" s="1">
        <v>43467</v>
      </c>
      <c r="B46" s="2">
        <v>0.83333333333333304</v>
      </c>
      <c r="C46" t="s">
        <v>6</v>
      </c>
      <c r="D46">
        <v>678.61642141460129</v>
      </c>
      <c r="E46">
        <f t="shared" ca="1" si="1"/>
        <v>87.09845024687317</v>
      </c>
      <c r="F46">
        <f t="shared" ca="1" si="2"/>
        <v>3.4003743598386524</v>
      </c>
      <c r="G46" s="1" t="str">
        <f t="shared" ca="1" si="0"/>
        <v>INSERT INTO tableRegionAnimalTest VALUES (' 2019-01-02 ',' 20:00 ', 'Kucing', '678.616421414601', '87.0984502468732', '3.40037435983865');</v>
      </c>
    </row>
    <row r="47" spans="1:7" x14ac:dyDescent="0.25">
      <c r="A47" s="1">
        <v>43467</v>
      </c>
      <c r="B47" s="2">
        <v>0.875</v>
      </c>
      <c r="C47" t="s">
        <v>6</v>
      </c>
      <c r="D47">
        <v>606.51749040459299</v>
      </c>
      <c r="E47">
        <f t="shared" ca="1" si="1"/>
        <v>87.238256029395245</v>
      </c>
      <c r="F47">
        <f t="shared" ca="1" si="2"/>
        <v>2.9616816947491991</v>
      </c>
      <c r="G47" s="1" t="str">
        <f t="shared" ca="1" si="0"/>
        <v>INSERT INTO tableRegionAnimalTest VALUES (' 2019-01-02 ',' 21:00 ', 'Kucing', '606.517490404593', '87.2382560293952', '2.9616816947492');</v>
      </c>
    </row>
    <row r="48" spans="1:7" x14ac:dyDescent="0.25">
      <c r="A48" s="1">
        <v>43467</v>
      </c>
      <c r="B48" s="2">
        <v>0.91666666666666663</v>
      </c>
      <c r="C48" t="s">
        <v>6</v>
      </c>
      <c r="D48">
        <v>569.22285061028208</v>
      </c>
      <c r="E48">
        <f t="shared" ca="1" si="1"/>
        <v>86.828807270004447</v>
      </c>
      <c r="F48">
        <f t="shared" ca="1" si="2"/>
        <v>2.8886860023708469</v>
      </c>
      <c r="G48" s="1" t="str">
        <f t="shared" ca="1" si="0"/>
        <v>INSERT INTO tableRegionAnimalTest VALUES (' 2019-01-02 ',' 22:00 ', 'Kucing', '569.222850610282', '86.8288072700044', '2.88868600237085');</v>
      </c>
    </row>
    <row r="49" spans="1:7" x14ac:dyDescent="0.25">
      <c r="A49" s="1">
        <v>43467</v>
      </c>
      <c r="B49" s="2">
        <v>0.95833333333333337</v>
      </c>
      <c r="C49" t="s">
        <v>6</v>
      </c>
      <c r="D49">
        <v>553.34710615487256</v>
      </c>
      <c r="E49">
        <f t="shared" ca="1" si="1"/>
        <v>86.340499963534398</v>
      </c>
      <c r="F49">
        <f t="shared" ca="1" si="2"/>
        <v>3.2219603255903237</v>
      </c>
      <c r="G49" s="1" t="str">
        <f t="shared" ca="1" si="0"/>
        <v>INSERT INTO tableRegionAnimalTest VALUES (' 2019-01-02 ',' 23:00 ', 'Kucing', '553.347106154873', '86.3404999635344', '3.22196032559032');</v>
      </c>
    </row>
    <row r="50" spans="1:7" x14ac:dyDescent="0.25">
      <c r="A50" s="1">
        <v>43468</v>
      </c>
      <c r="B50" s="2">
        <v>0</v>
      </c>
      <c r="C50" t="s">
        <v>6</v>
      </c>
      <c r="D50">
        <v>483.46681822696485</v>
      </c>
      <c r="E50">
        <f t="shared" ca="1" si="1"/>
        <v>85.479036919538402</v>
      </c>
      <c r="F50">
        <f t="shared" ca="1" si="2"/>
        <v>2.2224014838298762</v>
      </c>
      <c r="G50" s="1" t="str">
        <f t="shared" ca="1" si="0"/>
        <v>INSERT INTO tableRegionAnimalTest VALUES (' 2019-01-03 ',' 00:00 ', 'Kucing', '483.466818226965', '85.4790369195384', '2.22240148382988');</v>
      </c>
    </row>
    <row r="51" spans="1:7" x14ac:dyDescent="0.25">
      <c r="A51" s="1">
        <v>43468</v>
      </c>
      <c r="B51" s="2">
        <v>4.1666666666665401E-2</v>
      </c>
      <c r="C51" t="s">
        <v>6</v>
      </c>
      <c r="D51">
        <v>446.16252520628547</v>
      </c>
      <c r="E51">
        <f t="shared" ca="1" si="1"/>
        <v>85.487413275868462</v>
      </c>
      <c r="F51">
        <f t="shared" ca="1" si="2"/>
        <v>1.6152059993949548</v>
      </c>
      <c r="G51" s="1" t="str">
        <f t="shared" ca="1" si="0"/>
        <v>INSERT INTO tableRegionAnimalTest VALUES (' 2019-01-03 ',' 01:00 ', 'Kucing', '446.162525206285', '85.4874132758685', '1.61520599939495');</v>
      </c>
    </row>
    <row r="52" spans="1:7" x14ac:dyDescent="0.25">
      <c r="A52" s="1">
        <v>43468</v>
      </c>
      <c r="B52" s="2">
        <v>8.33333333333314E-2</v>
      </c>
      <c r="C52" t="s">
        <v>6</v>
      </c>
      <c r="D52">
        <v>375.82510293892329</v>
      </c>
      <c r="E52">
        <f t="shared" ca="1" si="1"/>
        <v>86.083434865360957</v>
      </c>
      <c r="F52">
        <f t="shared" ca="1" si="2"/>
        <v>0.97389277852375555</v>
      </c>
      <c r="G52" s="1" t="str">
        <f t="shared" ca="1" si="0"/>
        <v>INSERT INTO tableRegionAnimalTest VALUES (' 2019-01-03 ',' 02:00 ', 'Kucing', '375.825102938923', '86.083434865361', '0.973892778523756');</v>
      </c>
    </row>
    <row r="53" spans="1:7" x14ac:dyDescent="0.25">
      <c r="A53" s="1">
        <v>43468</v>
      </c>
      <c r="B53" s="2">
        <v>0.124999999999998</v>
      </c>
      <c r="C53" t="s">
        <v>6</v>
      </c>
      <c r="D53">
        <v>324.85400576182104</v>
      </c>
      <c r="E53">
        <f t="shared" ca="1" si="1"/>
        <v>86.837610881569589</v>
      </c>
      <c r="F53">
        <f t="shared" ca="1" si="2"/>
        <v>1.6921711614428752</v>
      </c>
      <c r="G53" s="1" t="str">
        <f t="shared" ca="1" si="0"/>
        <v>INSERT INTO tableRegionAnimalTest VALUES (' 2019-01-03 ',' 03:00 ', 'Kucing', '324.854005761821', '86.8376108815696', '1.69217116144288');</v>
      </c>
    </row>
    <row r="54" spans="1:7" x14ac:dyDescent="0.25">
      <c r="A54" s="1">
        <v>43468</v>
      </c>
      <c r="B54" s="2">
        <v>0.16666666666666499</v>
      </c>
      <c r="C54" t="s">
        <v>6</v>
      </c>
      <c r="D54">
        <v>339.74390697879574</v>
      </c>
      <c r="E54">
        <f t="shared" ca="1" si="1"/>
        <v>85.95335071509021</v>
      </c>
      <c r="F54">
        <f t="shared" ca="1" si="2"/>
        <v>1.8297038172443267</v>
      </c>
      <c r="G54" s="1" t="str">
        <f t="shared" ca="1" si="0"/>
        <v>INSERT INTO tableRegionAnimalTest VALUES (' 2019-01-03 ',' 04:00 ', 'Kucing', '339.743906978796', '85.9533507150902', '1.82970381724433');</v>
      </c>
    </row>
    <row r="55" spans="1:7" x14ac:dyDescent="0.25">
      <c r="A55" s="1">
        <v>43468</v>
      </c>
      <c r="B55" s="2">
        <v>0.20833333333333201</v>
      </c>
      <c r="C55" t="s">
        <v>6</v>
      </c>
      <c r="D55">
        <v>341.56852699028042</v>
      </c>
      <c r="E55">
        <f t="shared" ca="1" si="1"/>
        <v>86.567332667465465</v>
      </c>
      <c r="F55">
        <f t="shared" ca="1" si="2"/>
        <v>2.6689904532311077</v>
      </c>
      <c r="G55" s="1" t="str">
        <f t="shared" ca="1" si="0"/>
        <v>INSERT INTO tableRegionAnimalTest VALUES (' 2019-01-03 ',' 05:00 ', 'Kucing', '341.56852699028', '86.5673326674655', '2.66899045323111');</v>
      </c>
    </row>
    <row r="56" spans="1:7" x14ac:dyDescent="0.25">
      <c r="A56" s="1">
        <v>43468</v>
      </c>
      <c r="B56" s="2">
        <v>0.249999999999998</v>
      </c>
      <c r="C56" t="s">
        <v>6</v>
      </c>
      <c r="D56">
        <v>340.06306398049668</v>
      </c>
      <c r="E56">
        <f t="shared" ca="1" si="1"/>
        <v>87.229678711950442</v>
      </c>
      <c r="F56">
        <f t="shared" ca="1" si="2"/>
        <v>2.5013135798293678</v>
      </c>
      <c r="G56" s="1" t="str">
        <f t="shared" ca="1" si="0"/>
        <v>INSERT INTO tableRegionAnimalTest VALUES (' 2019-01-03 ',' 06:00 ', 'Kucing', '340.063063980497', '87.2296787119504', '2.50131357982937');</v>
      </c>
    </row>
    <row r="57" spans="1:7" x14ac:dyDescent="0.25">
      <c r="A57" s="1">
        <v>43468</v>
      </c>
      <c r="B57" s="2">
        <v>0.29166666666666502</v>
      </c>
      <c r="C57" t="s">
        <v>6</v>
      </c>
      <c r="D57">
        <v>371.94559092506643</v>
      </c>
      <c r="E57">
        <f t="shared" ca="1" si="1"/>
        <v>88.061516028171752</v>
      </c>
      <c r="F57">
        <f t="shared" ca="1" si="2"/>
        <v>2.6828391874002628</v>
      </c>
      <c r="G57" s="1" t="str">
        <f t="shared" ca="1" si="0"/>
        <v>INSERT INTO tableRegionAnimalTest VALUES (' 2019-01-03 ',' 07:00 ', 'Kucing', '371.945590925066', '88.0615160281718', '2.68283918740026');</v>
      </c>
    </row>
    <row r="58" spans="1:7" x14ac:dyDescent="0.25">
      <c r="A58" s="1">
        <v>43468</v>
      </c>
      <c r="B58" s="2">
        <v>0.33333333333333198</v>
      </c>
      <c r="C58" t="s">
        <v>6</v>
      </c>
      <c r="D58">
        <v>399.98149921316315</v>
      </c>
      <c r="E58">
        <f t="shared" ca="1" si="1"/>
        <v>87.391310759886565</v>
      </c>
      <c r="F58">
        <f t="shared" ca="1" si="2"/>
        <v>2.7383620280029364</v>
      </c>
      <c r="G58" s="1" t="str">
        <f t="shared" ca="1" si="0"/>
        <v>INSERT INTO tableRegionAnimalTest VALUES (' 2019-01-03 ',' 08:00 ', 'Kucing', '399.981499213163', '87.3913107598866', '2.73836202800294');</v>
      </c>
    </row>
    <row r="59" spans="1:7" x14ac:dyDescent="0.25">
      <c r="A59" s="1">
        <v>43468</v>
      </c>
      <c r="B59" s="2">
        <v>0.374999999999999</v>
      </c>
      <c r="C59" t="s">
        <v>6</v>
      </c>
      <c r="D59">
        <v>459.48092303002232</v>
      </c>
      <c r="E59">
        <f t="shared" ca="1" si="1"/>
        <v>86.524525771186902</v>
      </c>
      <c r="F59">
        <f t="shared" ca="1" si="2"/>
        <v>1.8111874804030355</v>
      </c>
      <c r="G59" s="1" t="str">
        <f t="shared" ca="1" si="0"/>
        <v>INSERT INTO tableRegionAnimalTest VALUES (' 2019-01-03 ',' 09:00 ', 'Kucing', '459.480923030022', '86.5245257711869', '1.81118748040304');</v>
      </c>
    </row>
    <row r="60" spans="1:7" x14ac:dyDescent="0.25">
      <c r="A60" s="1">
        <v>43468</v>
      </c>
      <c r="B60" s="2">
        <v>0.41666666666666502</v>
      </c>
      <c r="C60" t="s">
        <v>6</v>
      </c>
      <c r="D60">
        <v>455.41312635998372</v>
      </c>
      <c r="E60">
        <f t="shared" ca="1" si="1"/>
        <v>87.292623796339527</v>
      </c>
      <c r="F60">
        <f t="shared" ca="1" si="2"/>
        <v>0.85127272265203535</v>
      </c>
      <c r="G60" s="1" t="str">
        <f t="shared" ca="1" si="0"/>
        <v>INSERT INTO tableRegionAnimalTest VALUES (' 2019-01-03 ',' 10:00 ', 'Kucing', '455.413126359984', '87.2926237963395', '0.851272722652035');</v>
      </c>
    </row>
    <row r="61" spans="1:7" x14ac:dyDescent="0.25">
      <c r="A61" s="1">
        <v>43468</v>
      </c>
      <c r="B61" s="2">
        <v>0.45833333333333198</v>
      </c>
      <c r="C61" t="s">
        <v>6</v>
      </c>
      <c r="D61">
        <v>532.30064181065507</v>
      </c>
      <c r="E61">
        <f t="shared" ca="1" si="1"/>
        <v>87.48398452364691</v>
      </c>
      <c r="F61">
        <f t="shared" ca="1" si="2"/>
        <v>1.4233280387852583</v>
      </c>
      <c r="G61" s="1" t="str">
        <f t="shared" ca="1" si="0"/>
        <v>INSERT INTO tableRegionAnimalTest VALUES (' 2019-01-03 ',' 11:00 ', 'Kucing', '532.300641810655', '87.4839845236469', '1.42332803878526');</v>
      </c>
    </row>
    <row r="62" spans="1:7" x14ac:dyDescent="0.25">
      <c r="A62" s="1">
        <v>43468</v>
      </c>
      <c r="B62" s="2">
        <v>0.499999999999999</v>
      </c>
      <c r="C62" t="s">
        <v>6</v>
      </c>
      <c r="D62">
        <v>557.81626162745317</v>
      </c>
      <c r="E62">
        <f t="shared" ca="1" si="1"/>
        <v>87.720759136974394</v>
      </c>
      <c r="F62">
        <f t="shared" ca="1" si="2"/>
        <v>2.1519479826385455</v>
      </c>
      <c r="G62" s="1" t="str">
        <f t="shared" ca="1" si="0"/>
        <v>INSERT INTO tableRegionAnimalTest VALUES (' 2019-01-03 ',' 12:00 ', 'Kucing', '557.816261627453', '87.7207591369744', '2.15194798263855');</v>
      </c>
    </row>
    <row r="63" spans="1:7" x14ac:dyDescent="0.25">
      <c r="A63" s="1">
        <v>43468</v>
      </c>
      <c r="B63" s="2">
        <v>0.54166666666666596</v>
      </c>
      <c r="C63" t="s">
        <v>6</v>
      </c>
      <c r="D63">
        <v>644.45237872364726</v>
      </c>
      <c r="E63">
        <f t="shared" ca="1" si="1"/>
        <v>87.850390633303363</v>
      </c>
      <c r="F63">
        <f t="shared" ca="1" si="2"/>
        <v>2.1696986763290971</v>
      </c>
      <c r="G63" s="1" t="str">
        <f t="shared" ca="1" si="0"/>
        <v>INSERT INTO tableRegionAnimalTest VALUES (' 2019-01-03 ',' 13:00 ', 'Kucing', '644.452378723647', '87.8503906333034', '2.1696986763291');</v>
      </c>
    </row>
    <row r="64" spans="1:7" x14ac:dyDescent="0.25">
      <c r="A64" s="1">
        <v>43468</v>
      </c>
      <c r="B64" s="2">
        <v>0.58333333333333204</v>
      </c>
      <c r="C64" t="s">
        <v>6</v>
      </c>
      <c r="D64">
        <v>703.97308255995767</v>
      </c>
      <c r="E64">
        <f t="shared" ca="1" si="1"/>
        <v>87.923598137239139</v>
      </c>
      <c r="F64">
        <f t="shared" ca="1" si="2"/>
        <v>1.6496538555744369</v>
      </c>
      <c r="G64" s="1" t="str">
        <f t="shared" ca="1" si="0"/>
        <v>INSERT INTO tableRegionAnimalTest VALUES (' 2019-01-03 ',' 14:00 ', 'Kucing', '703.973082559958', '87.9235981372391', '1.64965385557444');</v>
      </c>
    </row>
    <row r="65" spans="1:7" x14ac:dyDescent="0.25">
      <c r="A65" s="1">
        <v>43468</v>
      </c>
      <c r="B65" s="2">
        <v>0.624999999999999</v>
      </c>
      <c r="C65" t="s">
        <v>6</v>
      </c>
      <c r="D65">
        <v>689.88549782846735</v>
      </c>
      <c r="E65">
        <f t="shared" ca="1" si="1"/>
        <v>88.802439938799438</v>
      </c>
      <c r="F65">
        <f t="shared" ca="1" si="2"/>
        <v>0.97072315354800032</v>
      </c>
      <c r="G65" s="1" t="str">
        <f t="shared" ca="1" si="0"/>
        <v>INSERT INTO tableRegionAnimalTest VALUES (' 2019-01-03 ',' 15:00 ', 'Kucing', '689.885497828467', '88.8024399387994', '0.970723153548');</v>
      </c>
    </row>
    <row r="66" spans="1:7" x14ac:dyDescent="0.25">
      <c r="A66" s="1">
        <v>43468</v>
      </c>
      <c r="B66" s="2">
        <v>0.66666666666666596</v>
      </c>
      <c r="C66" t="s">
        <v>6</v>
      </c>
      <c r="D66">
        <v>720.99459174525907</v>
      </c>
      <c r="E66">
        <f t="shared" ca="1" si="1"/>
        <v>88.35801698864023</v>
      </c>
      <c r="F66">
        <f t="shared" ca="1" si="2"/>
        <v>1.0230084248086904</v>
      </c>
      <c r="G66" s="1" t="str">
        <f t="shared" ca="1" si="0"/>
        <v>INSERT INTO tableRegionAnimalTest VALUES (' 2019-01-03 ',' 16:00 ', 'Kucing', '720.994591745259', '88.3580169886402', '1.02300842480869');</v>
      </c>
    </row>
    <row r="67" spans="1:7" x14ac:dyDescent="0.25">
      <c r="A67" s="1">
        <v>43468</v>
      </c>
      <c r="B67" s="2">
        <v>0.70833333333333304</v>
      </c>
      <c r="C67" t="s">
        <v>6</v>
      </c>
      <c r="D67">
        <v>745.16145754898207</v>
      </c>
      <c r="E67">
        <f t="shared" ca="1" si="1"/>
        <v>88.803435294727166</v>
      </c>
      <c r="F67">
        <f t="shared" ca="1" si="2"/>
        <v>1.9521958643755011</v>
      </c>
      <c r="G67" s="1" t="str">
        <f t="shared" ref="G67:G130" ca="1" si="3">"INSERT INTO tableRegionAnimalTest VALUES (' "&amp;TEXT(A67,"yyyy-mm-dd")&amp;" ',' "&amp;TEXT(B67,"hh:mm")&amp;" ', '"&amp;C67&amp;"', '"&amp;D67&amp;"', '"&amp;E67&amp;"', '"&amp;F67&amp;"');"</f>
        <v>INSERT INTO tableRegionAnimalTest VALUES (' 2019-01-03 ',' 17:00 ', 'Kucing', '745.161457548982', '88.8034352947272', '1.9521958643755');</v>
      </c>
    </row>
    <row r="68" spans="1:7" x14ac:dyDescent="0.25">
      <c r="A68" s="1">
        <v>43468</v>
      </c>
      <c r="B68" s="2">
        <v>0.749999999999999</v>
      </c>
      <c r="C68" t="s">
        <v>6</v>
      </c>
      <c r="D68">
        <v>734.43344722197639</v>
      </c>
      <c r="E68">
        <f t="shared" ref="E68:E131" ca="1" si="4">IF(E67&gt;=99, -(RAND()*1)+E67, IF(E67&lt;=81, (RAND()*1) +E67, (RAND()*1)* (RANDBETWEEN(0,1)*2-1) +E67))</f>
        <v>88.153407967185842</v>
      </c>
      <c r="F68">
        <f t="shared" ref="F68:F131" ca="1" si="5">IF(F67&gt;=5, -(RAND()*1)+F67, IF(F67&lt;=1, (RAND()*1) +F67, (RAND()*1)* (RANDBETWEEN(0,1)*2-1) +F67))</f>
        <v>1.4868781119890302</v>
      </c>
      <c r="G68" s="1" t="str">
        <f t="shared" ca="1" si="3"/>
        <v>INSERT INTO tableRegionAnimalTest VALUES (' 2019-01-03 ',' 18:00 ', 'Kucing', '734.433447221976', '88.1534079671858', '1.48687811198903');</v>
      </c>
    </row>
    <row r="69" spans="1:7" x14ac:dyDescent="0.25">
      <c r="A69" s="1">
        <v>43468</v>
      </c>
      <c r="B69" s="2">
        <v>0.79166666666666596</v>
      </c>
      <c r="C69" t="s">
        <v>6</v>
      </c>
      <c r="D69">
        <v>716.21437201986998</v>
      </c>
      <c r="E69">
        <f t="shared" ca="1" si="4"/>
        <v>87.957843706465681</v>
      </c>
      <c r="F69">
        <f t="shared" ca="1" si="5"/>
        <v>0.82671082667946527</v>
      </c>
      <c r="G69" s="1" t="str">
        <f t="shared" ca="1" si="3"/>
        <v>INSERT INTO tableRegionAnimalTest VALUES (' 2019-01-03 ',' 19:00 ', 'Kucing', '716.21437201987', '87.9578437064657', '0.826710826679465');</v>
      </c>
    </row>
    <row r="70" spans="1:7" x14ac:dyDescent="0.25">
      <c r="A70" s="1">
        <v>43468</v>
      </c>
      <c r="B70" s="2">
        <v>0.83333333333333304</v>
      </c>
      <c r="C70" t="s">
        <v>6</v>
      </c>
      <c r="D70">
        <v>664.73881834803171</v>
      </c>
      <c r="E70">
        <f t="shared" ca="1" si="4"/>
        <v>87.291822951438206</v>
      </c>
      <c r="F70">
        <f t="shared" ca="1" si="5"/>
        <v>0.99866379444502584</v>
      </c>
      <c r="G70" s="1" t="str">
        <f t="shared" ca="1" si="3"/>
        <v>INSERT INTO tableRegionAnimalTest VALUES (' 2019-01-03 ',' 20:00 ', 'Kucing', '664.738818348032', '87.2918229514382', '0.998663794445026');</v>
      </c>
    </row>
    <row r="71" spans="1:7" x14ac:dyDescent="0.25">
      <c r="A71" s="1">
        <v>43468</v>
      </c>
      <c r="B71" s="2">
        <v>0.875</v>
      </c>
      <c r="C71" t="s">
        <v>6</v>
      </c>
      <c r="D71">
        <v>619.1905687738913</v>
      </c>
      <c r="E71">
        <f t="shared" ca="1" si="4"/>
        <v>87.97571615339622</v>
      </c>
      <c r="F71">
        <f t="shared" ca="1" si="5"/>
        <v>1.3994167331744247</v>
      </c>
      <c r="G71" s="1" t="str">
        <f t="shared" ca="1" si="3"/>
        <v>INSERT INTO tableRegionAnimalTest VALUES (' 2019-01-03 ',' 21:00 ', 'Kucing', '619.190568773891', '87.9757161533962', '1.39941673317442');</v>
      </c>
    </row>
    <row r="72" spans="1:7" x14ac:dyDescent="0.25">
      <c r="A72" s="1">
        <v>43468</v>
      </c>
      <c r="B72" s="2">
        <v>0.91666666666666663</v>
      </c>
      <c r="C72" t="s">
        <v>6</v>
      </c>
      <c r="D72">
        <v>557.77500154589666</v>
      </c>
      <c r="E72">
        <f t="shared" ca="1" si="4"/>
        <v>87.770807201755531</v>
      </c>
      <c r="F72">
        <f t="shared" ca="1" si="5"/>
        <v>1.7995158437712708</v>
      </c>
      <c r="G72" s="1" t="str">
        <f t="shared" ca="1" si="3"/>
        <v>INSERT INTO tableRegionAnimalTest VALUES (' 2019-01-03 ',' 22:00 ', 'Kucing', '557.775001545897', '87.7708072017555', '1.79951584377127');</v>
      </c>
    </row>
    <row r="73" spans="1:7" x14ac:dyDescent="0.25">
      <c r="A73" s="1">
        <v>43468</v>
      </c>
      <c r="B73" s="2">
        <v>0.95833333333333337</v>
      </c>
      <c r="C73" t="s">
        <v>6</v>
      </c>
      <c r="D73">
        <v>511.03290952752144</v>
      </c>
      <c r="E73">
        <f t="shared" ca="1" si="4"/>
        <v>88.646215480434719</v>
      </c>
      <c r="F73">
        <f t="shared" ca="1" si="5"/>
        <v>2.4665345955427425</v>
      </c>
      <c r="G73" s="1" t="str">
        <f t="shared" ca="1" si="3"/>
        <v>INSERT INTO tableRegionAnimalTest VALUES (' 2019-01-03 ',' 23:00 ', 'Kucing', '511.032909527521', '88.6462154804347', '2.46653459554274');</v>
      </c>
    </row>
    <row r="74" spans="1:7" x14ac:dyDescent="0.25">
      <c r="A74" s="1">
        <v>43469</v>
      </c>
      <c r="B74" s="2">
        <v>0</v>
      </c>
      <c r="C74" t="s">
        <v>6</v>
      </c>
      <c r="D74">
        <v>456.279357687176</v>
      </c>
      <c r="E74">
        <f t="shared" ca="1" si="4"/>
        <v>89.034059164198624</v>
      </c>
      <c r="F74">
        <f t="shared" ca="1" si="5"/>
        <v>3.3728330601232477</v>
      </c>
      <c r="G74" s="1" t="str">
        <f t="shared" ca="1" si="3"/>
        <v>INSERT INTO tableRegionAnimalTest VALUES (' 2019-01-04 ',' 00:00 ', 'Kucing', '456.279357687176', '89.0340591641986', '3.37283306012325');</v>
      </c>
    </row>
    <row r="75" spans="1:7" x14ac:dyDescent="0.25">
      <c r="A75" s="1">
        <v>43469</v>
      </c>
      <c r="B75" s="2">
        <v>4.1666666666665401E-2</v>
      </c>
      <c r="C75" t="s">
        <v>6</v>
      </c>
      <c r="D75">
        <v>452.40140443283065</v>
      </c>
      <c r="E75">
        <f t="shared" ca="1" si="4"/>
        <v>89.433313576943334</v>
      </c>
      <c r="F75">
        <f t="shared" ca="1" si="5"/>
        <v>3.210119214913445</v>
      </c>
      <c r="G75" s="1" t="str">
        <f t="shared" ca="1" si="3"/>
        <v>INSERT INTO tableRegionAnimalTest VALUES (' 2019-01-04 ',' 01:00 ', 'Kucing', '452.401404432831', '89.4333135769433', '3.21011921491344');</v>
      </c>
    </row>
    <row r="76" spans="1:7" x14ac:dyDescent="0.25">
      <c r="A76" s="1">
        <v>43469</v>
      </c>
      <c r="B76" s="2">
        <v>8.33333333333314E-2</v>
      </c>
      <c r="C76" t="s">
        <v>6</v>
      </c>
      <c r="D76">
        <v>409.56825624328059</v>
      </c>
      <c r="E76">
        <f t="shared" ca="1" si="4"/>
        <v>89.638936248725869</v>
      </c>
      <c r="F76">
        <f t="shared" ca="1" si="5"/>
        <v>3.1619995505946181</v>
      </c>
      <c r="G76" s="1" t="str">
        <f t="shared" ca="1" si="3"/>
        <v>INSERT INTO tableRegionAnimalTest VALUES (' 2019-01-04 ',' 02:00 ', 'Kucing', '409.568256243281', '89.6389362487259', '3.16199955059462');</v>
      </c>
    </row>
    <row r="77" spans="1:7" x14ac:dyDescent="0.25">
      <c r="A77" s="1">
        <v>43469</v>
      </c>
      <c r="B77" s="2">
        <v>0.124999999999998</v>
      </c>
      <c r="C77" t="s">
        <v>6</v>
      </c>
      <c r="D77">
        <v>362.63098926814621</v>
      </c>
      <c r="E77">
        <f t="shared" ca="1" si="4"/>
        <v>89.63369346788761</v>
      </c>
      <c r="F77">
        <f t="shared" ca="1" si="5"/>
        <v>4.068105675824059</v>
      </c>
      <c r="G77" s="1" t="str">
        <f t="shared" ca="1" si="3"/>
        <v>INSERT INTO tableRegionAnimalTest VALUES (' 2019-01-04 ',' 03:00 ', 'Kucing', '362.630989268146', '89.6336934678876', '4.06810567582406');</v>
      </c>
    </row>
    <row r="78" spans="1:7" x14ac:dyDescent="0.25">
      <c r="A78" s="1">
        <v>43469</v>
      </c>
      <c r="B78" s="2">
        <v>0.16666666666666499</v>
      </c>
      <c r="C78" t="s">
        <v>6</v>
      </c>
      <c r="D78">
        <v>355.50863632599163</v>
      </c>
      <c r="E78">
        <f t="shared" ca="1" si="4"/>
        <v>89.582931320401087</v>
      </c>
      <c r="F78">
        <f t="shared" ca="1" si="5"/>
        <v>4.3366040782907431</v>
      </c>
      <c r="G78" s="1" t="str">
        <f t="shared" ca="1" si="3"/>
        <v>INSERT INTO tableRegionAnimalTest VALUES (' 2019-01-04 ',' 04:00 ', 'Kucing', '355.508636325992', '89.5829313204011', '4.33660407829074');</v>
      </c>
    </row>
    <row r="79" spans="1:7" x14ac:dyDescent="0.25">
      <c r="A79" s="1">
        <v>43469</v>
      </c>
      <c r="B79" s="2">
        <v>0.20833333333333201</v>
      </c>
      <c r="C79" t="s">
        <v>6</v>
      </c>
      <c r="D79">
        <v>351.48604667419215</v>
      </c>
      <c r="E79">
        <f t="shared" ca="1" si="4"/>
        <v>90.517271278280873</v>
      </c>
      <c r="F79">
        <f t="shared" ca="1" si="5"/>
        <v>3.3823942668506937</v>
      </c>
      <c r="G79" s="1" t="str">
        <f t="shared" ca="1" si="3"/>
        <v>INSERT INTO tableRegionAnimalTest VALUES (' 2019-01-04 ',' 05:00 ', 'Kucing', '351.486046674192', '90.5172712782809', '3.38239426685069');</v>
      </c>
    </row>
    <row r="80" spans="1:7" x14ac:dyDescent="0.25">
      <c r="A80" s="1">
        <v>43469</v>
      </c>
      <c r="B80" s="2">
        <v>0.249999999999998</v>
      </c>
      <c r="C80" t="s">
        <v>6</v>
      </c>
      <c r="D80">
        <v>339.22225562821751</v>
      </c>
      <c r="E80">
        <f t="shared" ca="1" si="4"/>
        <v>91.398312357020572</v>
      </c>
      <c r="F80">
        <f t="shared" ca="1" si="5"/>
        <v>2.4268223640812234</v>
      </c>
      <c r="G80" s="1" t="str">
        <f t="shared" ca="1" si="3"/>
        <v>INSERT INTO tableRegionAnimalTest VALUES (' 2019-01-04 ',' 06:00 ', 'Kucing', '339.222255628218', '91.3983123570206', '2.42682236408122');</v>
      </c>
    </row>
    <row r="81" spans="1:7" x14ac:dyDescent="0.25">
      <c r="A81" s="1">
        <v>43469</v>
      </c>
      <c r="B81" s="2">
        <v>0.29166666666666502</v>
      </c>
      <c r="C81" t="s">
        <v>6</v>
      </c>
      <c r="D81">
        <v>323.39980799800941</v>
      </c>
      <c r="E81">
        <f t="shared" ca="1" si="4"/>
        <v>90.945260857044261</v>
      </c>
      <c r="F81">
        <f t="shared" ca="1" si="5"/>
        <v>2.2311252097096537</v>
      </c>
      <c r="G81" s="1" t="str">
        <f t="shared" ca="1" si="3"/>
        <v>INSERT INTO tableRegionAnimalTest VALUES (' 2019-01-04 ',' 07:00 ', 'Kucing', '323.399807998009', '90.9452608570443', '2.23112520970965');</v>
      </c>
    </row>
    <row r="82" spans="1:7" x14ac:dyDescent="0.25">
      <c r="A82" s="1">
        <v>43469</v>
      </c>
      <c r="B82" s="2">
        <v>0.33333333333333198</v>
      </c>
      <c r="C82" t="s">
        <v>6</v>
      </c>
      <c r="D82">
        <v>406.9388251844365</v>
      </c>
      <c r="E82">
        <f t="shared" ca="1" si="4"/>
        <v>91.09724896124402</v>
      </c>
      <c r="F82">
        <f t="shared" ca="1" si="5"/>
        <v>2.6713221927612407</v>
      </c>
      <c r="G82" s="1" t="str">
        <f t="shared" ca="1" si="3"/>
        <v>INSERT INTO tableRegionAnimalTest VALUES (' 2019-01-04 ',' 08:00 ', 'Kucing', '406.938825184436', '91.097248961244', '2.67132219276124');</v>
      </c>
    </row>
    <row r="83" spans="1:7" x14ac:dyDescent="0.25">
      <c r="A83" s="1">
        <v>43469</v>
      </c>
      <c r="B83" s="2">
        <v>0.374999999999999</v>
      </c>
      <c r="C83" t="s">
        <v>6</v>
      </c>
      <c r="D83">
        <v>435.97366144041962</v>
      </c>
      <c r="E83">
        <f t="shared" ca="1" si="4"/>
        <v>90.771349194690572</v>
      </c>
      <c r="F83">
        <f t="shared" ca="1" si="5"/>
        <v>1.9989367748065812</v>
      </c>
      <c r="G83" s="1" t="str">
        <f t="shared" ca="1" si="3"/>
        <v>INSERT INTO tableRegionAnimalTest VALUES (' 2019-01-04 ',' 09:00 ', 'Kucing', '435.97366144042', '90.7713491946906', '1.99893677480658');</v>
      </c>
    </row>
    <row r="84" spans="1:7" x14ac:dyDescent="0.25">
      <c r="A84" s="1">
        <v>43469</v>
      </c>
      <c r="B84" s="2">
        <v>0.41666666666666502</v>
      </c>
      <c r="C84" t="s">
        <v>6</v>
      </c>
      <c r="D84">
        <v>456.80834661931084</v>
      </c>
      <c r="E84">
        <f t="shared" ca="1" si="4"/>
        <v>89.840517546968286</v>
      </c>
      <c r="F84">
        <f t="shared" ca="1" si="5"/>
        <v>1.2359182915984888</v>
      </c>
      <c r="G84" s="1" t="str">
        <f t="shared" ca="1" si="3"/>
        <v>INSERT INTO tableRegionAnimalTest VALUES (' 2019-01-04 ',' 10:00 ', 'Kucing', '456.808346619311', '89.8405175469683', '1.23591829159849');</v>
      </c>
    </row>
    <row r="85" spans="1:7" x14ac:dyDescent="0.25">
      <c r="A85" s="1">
        <v>43469</v>
      </c>
      <c r="B85" s="2">
        <v>0.45833333333333198</v>
      </c>
      <c r="C85" t="s">
        <v>6</v>
      </c>
      <c r="D85">
        <v>518.49547308716569</v>
      </c>
      <c r="E85">
        <f t="shared" ca="1" si="4"/>
        <v>90.468168085385159</v>
      </c>
      <c r="F85">
        <f t="shared" ca="1" si="5"/>
        <v>1.968811396913025</v>
      </c>
      <c r="G85" s="1" t="str">
        <f t="shared" ca="1" si="3"/>
        <v>INSERT INTO tableRegionAnimalTest VALUES (' 2019-01-04 ',' 11:00 ', 'Kucing', '518.495473087166', '90.4681680853852', '1.96881139691302');</v>
      </c>
    </row>
    <row r="86" spans="1:7" x14ac:dyDescent="0.25">
      <c r="A86" s="1">
        <v>43469</v>
      </c>
      <c r="B86" s="2">
        <v>0.499999999999999</v>
      </c>
      <c r="C86" t="s">
        <v>6</v>
      </c>
      <c r="D86">
        <v>556.73131196946758</v>
      </c>
      <c r="E86">
        <f t="shared" ca="1" si="4"/>
        <v>90.468621105553297</v>
      </c>
      <c r="F86">
        <f t="shared" ca="1" si="5"/>
        <v>1.64003282687056</v>
      </c>
      <c r="G86" s="1" t="str">
        <f t="shared" ca="1" si="3"/>
        <v>INSERT INTO tableRegionAnimalTest VALUES (' 2019-01-04 ',' 12:00 ', 'Kucing', '556.731311969468', '90.4686211055533', '1.64003282687056');</v>
      </c>
    </row>
    <row r="87" spans="1:7" x14ac:dyDescent="0.25">
      <c r="A87" s="1">
        <v>43469</v>
      </c>
      <c r="B87" s="2">
        <v>0.54166666666666596</v>
      </c>
      <c r="C87" t="s">
        <v>6</v>
      </c>
      <c r="D87">
        <v>617.50488083546861</v>
      </c>
      <c r="E87">
        <f t="shared" ca="1" si="4"/>
        <v>91.142423802762039</v>
      </c>
      <c r="F87">
        <f t="shared" ca="1" si="5"/>
        <v>2.10673616650238</v>
      </c>
      <c r="G87" s="1" t="str">
        <f t="shared" ca="1" si="3"/>
        <v>INSERT INTO tableRegionAnimalTest VALUES (' 2019-01-04 ',' 13:00 ', 'Kucing', '617.504880835469', '91.142423802762', '2.10673616650238');</v>
      </c>
    </row>
    <row r="88" spans="1:7" x14ac:dyDescent="0.25">
      <c r="A88" s="1">
        <v>43469</v>
      </c>
      <c r="B88" s="2">
        <v>0.58333333333333204</v>
      </c>
      <c r="C88" t="s">
        <v>6</v>
      </c>
      <c r="D88">
        <v>666.32876885870019</v>
      </c>
      <c r="E88">
        <f t="shared" ca="1" si="4"/>
        <v>91.781888121906817</v>
      </c>
      <c r="F88">
        <f t="shared" ca="1" si="5"/>
        <v>1.8896831264940412</v>
      </c>
      <c r="G88" s="1" t="str">
        <f t="shared" ca="1" si="3"/>
        <v>INSERT INTO tableRegionAnimalTest VALUES (' 2019-01-04 ',' 14:00 ', 'Kucing', '666.3287688587', '91.7818881219068', '1.88968312649404');</v>
      </c>
    </row>
    <row r="89" spans="1:7" x14ac:dyDescent="0.25">
      <c r="A89" s="1">
        <v>43469</v>
      </c>
      <c r="B89" s="2">
        <v>0.624999999999999</v>
      </c>
      <c r="C89" t="s">
        <v>6</v>
      </c>
      <c r="D89">
        <v>714.43475942815087</v>
      </c>
      <c r="E89">
        <f t="shared" ca="1" si="4"/>
        <v>91.892325477506844</v>
      </c>
      <c r="F89">
        <f t="shared" ca="1" si="5"/>
        <v>1.7928403529429275</v>
      </c>
      <c r="G89" s="1" t="str">
        <f t="shared" ca="1" si="3"/>
        <v>INSERT INTO tableRegionAnimalTest VALUES (' 2019-01-04 ',' 15:00 ', 'Kucing', '714.434759428151', '91.8923254775068', '1.79284035294293');</v>
      </c>
    </row>
    <row r="90" spans="1:7" x14ac:dyDescent="0.25">
      <c r="A90" s="1">
        <v>43469</v>
      </c>
      <c r="B90" s="2">
        <v>0.66666666666666596</v>
      </c>
      <c r="C90" t="s">
        <v>6</v>
      </c>
      <c r="D90">
        <v>738.06015757223167</v>
      </c>
      <c r="E90">
        <f t="shared" ca="1" si="4"/>
        <v>92.252474067828288</v>
      </c>
      <c r="F90">
        <f t="shared" ca="1" si="5"/>
        <v>1.7419062762213455</v>
      </c>
      <c r="G90" s="1" t="str">
        <f t="shared" ca="1" si="3"/>
        <v>INSERT INTO tableRegionAnimalTest VALUES (' 2019-01-04 ',' 16:00 ', 'Kucing', '738.060157572232', '92.2524740678283', '1.74190627622135');</v>
      </c>
    </row>
    <row r="91" spans="1:7" x14ac:dyDescent="0.25">
      <c r="A91" s="1">
        <v>43469</v>
      </c>
      <c r="B91" s="2">
        <v>0.70833333333333304</v>
      </c>
      <c r="C91" t="s">
        <v>6</v>
      </c>
      <c r="D91">
        <v>759.26860267030872</v>
      </c>
      <c r="E91">
        <f t="shared" ca="1" si="4"/>
        <v>92.862236028876765</v>
      </c>
      <c r="F91">
        <f t="shared" ca="1" si="5"/>
        <v>2.3863816540423652</v>
      </c>
      <c r="G91" s="1" t="str">
        <f t="shared" ca="1" si="3"/>
        <v>INSERT INTO tableRegionAnimalTest VALUES (' 2019-01-04 ',' 17:00 ', 'Kucing', '759.268602670309', '92.8622360288768', '2.38638165404237');</v>
      </c>
    </row>
    <row r="92" spans="1:7" x14ac:dyDescent="0.25">
      <c r="A92" s="1">
        <v>43469</v>
      </c>
      <c r="B92" s="2">
        <v>0.749999999999999</v>
      </c>
      <c r="C92" t="s">
        <v>6</v>
      </c>
      <c r="D92">
        <v>738.41250376288133</v>
      </c>
      <c r="E92">
        <f t="shared" ca="1" si="4"/>
        <v>92.545901796963179</v>
      </c>
      <c r="F92">
        <f t="shared" ca="1" si="5"/>
        <v>2.4586072772779981</v>
      </c>
      <c r="G92" s="1" t="str">
        <f t="shared" ca="1" si="3"/>
        <v>INSERT INTO tableRegionAnimalTest VALUES (' 2019-01-04 ',' 18:00 ', 'Kucing', '738.412503762881', '92.5459017969632', '2.458607277278');</v>
      </c>
    </row>
    <row r="93" spans="1:7" x14ac:dyDescent="0.25">
      <c r="A93" s="1">
        <v>43469</v>
      </c>
      <c r="B93" s="2">
        <v>0.79166666666666596</v>
      </c>
      <c r="C93" t="s">
        <v>6</v>
      </c>
      <c r="D93">
        <v>730.40621459069791</v>
      </c>
      <c r="E93">
        <f t="shared" ca="1" si="4"/>
        <v>93.068139357911278</v>
      </c>
      <c r="F93">
        <f t="shared" ca="1" si="5"/>
        <v>3.4289034882753318</v>
      </c>
      <c r="G93" s="1" t="str">
        <f t="shared" ca="1" si="3"/>
        <v>INSERT INTO tableRegionAnimalTest VALUES (' 2019-01-04 ',' 19:00 ', 'Kucing', '730.406214590698', '93.0681393579113', '3.42890348827533');</v>
      </c>
    </row>
    <row r="94" spans="1:7" x14ac:dyDescent="0.25">
      <c r="A94" s="1">
        <v>43469</v>
      </c>
      <c r="B94" s="2">
        <v>0.83333333333333304</v>
      </c>
      <c r="C94" t="s">
        <v>6</v>
      </c>
      <c r="D94">
        <v>656.8504843018228</v>
      </c>
      <c r="E94">
        <f t="shared" ca="1" si="4"/>
        <v>92.363616799330842</v>
      </c>
      <c r="F94">
        <f t="shared" ca="1" si="5"/>
        <v>3.1556864863153642</v>
      </c>
      <c r="G94" s="1" t="str">
        <f t="shared" ca="1" si="3"/>
        <v>INSERT INTO tableRegionAnimalTest VALUES (' 2019-01-04 ',' 20:00 ', 'Kucing', '656.850484301823', '92.3636167993308', '3.15568648631536');</v>
      </c>
    </row>
    <row r="95" spans="1:7" x14ac:dyDescent="0.25">
      <c r="A95" s="1">
        <v>43469</v>
      </c>
      <c r="B95" s="2">
        <v>0.875</v>
      </c>
      <c r="C95" t="s">
        <v>6</v>
      </c>
      <c r="D95">
        <v>632.72364176997644</v>
      </c>
      <c r="E95">
        <f t="shared" ca="1" si="4"/>
        <v>93.180715386401403</v>
      </c>
      <c r="F95">
        <f t="shared" ca="1" si="5"/>
        <v>4.081835497304164</v>
      </c>
      <c r="G95" s="1" t="str">
        <f t="shared" ca="1" si="3"/>
        <v>INSERT INTO tableRegionAnimalTest VALUES (' 2019-01-04 ',' 21:00 ', 'Kucing', '632.723641769976', '93.1807153864014', '4.08183549730416');</v>
      </c>
    </row>
    <row r="96" spans="1:7" x14ac:dyDescent="0.25">
      <c r="A96" s="1">
        <v>43469</v>
      </c>
      <c r="B96" s="2">
        <v>0.91666666666666663</v>
      </c>
      <c r="C96" t="s">
        <v>6</v>
      </c>
      <c r="D96">
        <v>564.51679583259295</v>
      </c>
      <c r="E96">
        <f t="shared" ca="1" si="4"/>
        <v>92.552096328844641</v>
      </c>
      <c r="F96">
        <f t="shared" ca="1" si="5"/>
        <v>4.4102928544325684</v>
      </c>
      <c r="G96" s="1" t="str">
        <f t="shared" ca="1" si="3"/>
        <v>INSERT INTO tableRegionAnimalTest VALUES (' 2019-01-04 ',' 22:00 ', 'Kucing', '564.516795832593', '92.5520963288446', '4.41029285443257');</v>
      </c>
    </row>
    <row r="97" spans="1:7" x14ac:dyDescent="0.25">
      <c r="A97" s="1">
        <v>43469</v>
      </c>
      <c r="B97" s="2">
        <v>0.95833333333333337</v>
      </c>
      <c r="C97" t="s">
        <v>6</v>
      </c>
      <c r="D97">
        <v>522.88493790592941</v>
      </c>
      <c r="E97">
        <f t="shared" ca="1" si="4"/>
        <v>93.278433661742667</v>
      </c>
      <c r="F97">
        <f t="shared" ca="1" si="5"/>
        <v>4.5122925211316742</v>
      </c>
      <c r="G97" s="1" t="str">
        <f t="shared" ca="1" si="3"/>
        <v>INSERT INTO tableRegionAnimalTest VALUES (' 2019-01-04 ',' 23:00 ', 'Kucing', '522.884937905929', '93.2784336617427', '4.51229252113167');</v>
      </c>
    </row>
    <row r="98" spans="1:7" x14ac:dyDescent="0.25">
      <c r="A98" s="1">
        <v>43470</v>
      </c>
      <c r="B98" s="2">
        <v>0</v>
      </c>
      <c r="C98" t="s">
        <v>6</v>
      </c>
      <c r="D98">
        <v>452.54912065572864</v>
      </c>
      <c r="E98">
        <f t="shared" ca="1" si="4"/>
        <v>94.127665078438554</v>
      </c>
      <c r="F98">
        <f t="shared" ca="1" si="5"/>
        <v>4.3750959703549448</v>
      </c>
      <c r="G98" s="1" t="str">
        <f t="shared" ca="1" si="3"/>
        <v>INSERT INTO tableRegionAnimalTest VALUES (' 2019-01-05 ',' 00:00 ', 'Kucing', '452.549120655729', '94.1276650784386', '4.37509597035494');</v>
      </c>
    </row>
    <row r="99" spans="1:7" x14ac:dyDescent="0.25">
      <c r="A99" s="1">
        <v>43470</v>
      </c>
      <c r="B99" s="2">
        <v>4.1666666666665401E-2</v>
      </c>
      <c r="C99" t="s">
        <v>6</v>
      </c>
      <c r="D99">
        <v>456.04350114584906</v>
      </c>
      <c r="E99">
        <f t="shared" ca="1" si="4"/>
        <v>93.268844361230066</v>
      </c>
      <c r="F99">
        <f t="shared" ca="1" si="5"/>
        <v>3.3815010587922592</v>
      </c>
      <c r="G99" s="1" t="str">
        <f t="shared" ca="1" si="3"/>
        <v>INSERT INTO tableRegionAnimalTest VALUES (' 2019-01-05 ',' 01:00 ', 'Kucing', '456.043501145849', '93.2688443612301', '3.38150105879226');</v>
      </c>
    </row>
    <row r="100" spans="1:7" x14ac:dyDescent="0.25">
      <c r="A100" s="1">
        <v>43470</v>
      </c>
      <c r="B100" s="2">
        <v>8.33333333333314E-2</v>
      </c>
      <c r="C100" t="s">
        <v>6</v>
      </c>
      <c r="D100">
        <v>415.9979868428544</v>
      </c>
      <c r="E100">
        <f t="shared" ca="1" si="4"/>
        <v>93.79985083930174</v>
      </c>
      <c r="F100">
        <f t="shared" ca="1" si="5"/>
        <v>3.2436270988824125</v>
      </c>
      <c r="G100" s="1" t="str">
        <f t="shared" ca="1" si="3"/>
        <v>INSERT INTO tableRegionAnimalTest VALUES (' 2019-01-05 ',' 02:00 ', 'Kucing', '415.997986842854', '93.7998508393017', '3.24362709888241');</v>
      </c>
    </row>
    <row r="101" spans="1:7" x14ac:dyDescent="0.25">
      <c r="A101" s="1">
        <v>43470</v>
      </c>
      <c r="B101" s="2">
        <v>0.124999999999998</v>
      </c>
      <c r="C101" t="s">
        <v>6</v>
      </c>
      <c r="D101">
        <v>328.2547543515816</v>
      </c>
      <c r="E101">
        <f t="shared" ca="1" si="4"/>
        <v>94.024655728070073</v>
      </c>
      <c r="F101">
        <f t="shared" ca="1" si="5"/>
        <v>4.2340325408939057</v>
      </c>
      <c r="G101" s="1" t="str">
        <f t="shared" ca="1" si="3"/>
        <v>INSERT INTO tableRegionAnimalTest VALUES (' 2019-01-05 ',' 03:00 ', 'Kucing', '328.254754351582', '94.0246557280701', '4.23403254089391');</v>
      </c>
    </row>
    <row r="102" spans="1:7" x14ac:dyDescent="0.25">
      <c r="A102" s="1">
        <v>43470</v>
      </c>
      <c r="B102" s="2">
        <v>0.16666666666666499</v>
      </c>
      <c r="C102" t="s">
        <v>6</v>
      </c>
      <c r="D102">
        <v>314.99391100491295</v>
      </c>
      <c r="E102">
        <f t="shared" ca="1" si="4"/>
        <v>94.281761979013794</v>
      </c>
      <c r="F102">
        <f t="shared" ca="1" si="5"/>
        <v>3.5070439850185875</v>
      </c>
      <c r="G102" s="1" t="str">
        <f t="shared" ca="1" si="3"/>
        <v>INSERT INTO tableRegionAnimalTest VALUES (' 2019-01-05 ',' 04:00 ', 'Kucing', '314.993911004913', '94.2817619790138', '3.50704398501859');</v>
      </c>
    </row>
    <row r="103" spans="1:7" x14ac:dyDescent="0.25">
      <c r="A103" s="1">
        <v>43470</v>
      </c>
      <c r="B103" s="2">
        <v>0.20833333333333201</v>
      </c>
      <c r="C103" t="s">
        <v>6</v>
      </c>
      <c r="D103">
        <v>329.99275658380617</v>
      </c>
      <c r="E103">
        <f t="shared" ca="1" si="4"/>
        <v>95.267496369664855</v>
      </c>
      <c r="F103">
        <f t="shared" ca="1" si="5"/>
        <v>2.8476536733508855</v>
      </c>
      <c r="G103" s="1" t="str">
        <f t="shared" ca="1" si="3"/>
        <v>INSERT INTO tableRegionAnimalTest VALUES (' 2019-01-05 ',' 05:00 ', 'Kucing', '329.992756583806', '95.2674963696649', '2.84765367335089');</v>
      </c>
    </row>
    <row r="104" spans="1:7" x14ac:dyDescent="0.25">
      <c r="A104" s="1">
        <v>43470</v>
      </c>
      <c r="B104" s="2">
        <v>0.249999999999998</v>
      </c>
      <c r="C104" t="s">
        <v>6</v>
      </c>
      <c r="D104">
        <v>360.63158631428689</v>
      </c>
      <c r="E104">
        <f t="shared" ca="1" si="4"/>
        <v>95.334748790963928</v>
      </c>
      <c r="F104">
        <f t="shared" ca="1" si="5"/>
        <v>3.1989811503444887</v>
      </c>
      <c r="G104" s="1" t="str">
        <f t="shared" ca="1" si="3"/>
        <v>INSERT INTO tableRegionAnimalTest VALUES (' 2019-01-05 ',' 06:00 ', 'Kucing', '360.631586314287', '95.3347487909639', '3.19898115034449');</v>
      </c>
    </row>
    <row r="105" spans="1:7" x14ac:dyDescent="0.25">
      <c r="A105" s="1">
        <v>43470</v>
      </c>
      <c r="B105" s="2">
        <v>0.29166666666666502</v>
      </c>
      <c r="C105" t="s">
        <v>6</v>
      </c>
      <c r="D105">
        <v>363.69917440704916</v>
      </c>
      <c r="E105">
        <f t="shared" ca="1" si="4"/>
        <v>95.609168620035746</v>
      </c>
      <c r="F105">
        <f t="shared" ca="1" si="5"/>
        <v>3.5796717150363087</v>
      </c>
      <c r="G105" s="1" t="str">
        <f t="shared" ca="1" si="3"/>
        <v>INSERT INTO tableRegionAnimalTest VALUES (' 2019-01-05 ',' 07:00 ', 'Kucing', '363.699174407049', '95.6091686200357', '3.57967171503631');</v>
      </c>
    </row>
    <row r="106" spans="1:7" x14ac:dyDescent="0.25">
      <c r="A106" s="1">
        <v>43470</v>
      </c>
      <c r="B106" s="2">
        <v>0.33333333333333198</v>
      </c>
      <c r="C106" t="s">
        <v>6</v>
      </c>
      <c r="D106">
        <v>389.86905281337516</v>
      </c>
      <c r="E106">
        <f t="shared" ca="1" si="4"/>
        <v>96.482668704094749</v>
      </c>
      <c r="F106">
        <f t="shared" ca="1" si="5"/>
        <v>2.9210295314064765</v>
      </c>
      <c r="G106" s="1" t="str">
        <f t="shared" ca="1" si="3"/>
        <v>INSERT INTO tableRegionAnimalTest VALUES (' 2019-01-05 ',' 08:00 ', 'Kucing', '389.869052813375', '96.4826687040947', '2.92102953140648');</v>
      </c>
    </row>
    <row r="107" spans="1:7" x14ac:dyDescent="0.25">
      <c r="A107" s="1">
        <v>43470</v>
      </c>
      <c r="B107" s="2">
        <v>0.374999999999999</v>
      </c>
      <c r="C107" t="s">
        <v>6</v>
      </c>
      <c r="D107">
        <v>440.21481989441429</v>
      </c>
      <c r="E107">
        <f t="shared" ca="1" si="4"/>
        <v>96.126005202051857</v>
      </c>
      <c r="F107">
        <f t="shared" ca="1" si="5"/>
        <v>3.4391894524142854</v>
      </c>
      <c r="G107" s="1" t="str">
        <f t="shared" ca="1" si="3"/>
        <v>INSERT INTO tableRegionAnimalTest VALUES (' 2019-01-05 ',' 09:00 ', 'Kucing', '440.214819894414', '96.1260052020519', '3.43918945241429');</v>
      </c>
    </row>
    <row r="108" spans="1:7" x14ac:dyDescent="0.25">
      <c r="A108" s="1">
        <v>43470</v>
      </c>
      <c r="B108" s="2">
        <v>0.41666666666666502</v>
      </c>
      <c r="C108" t="s">
        <v>6</v>
      </c>
      <c r="D108">
        <v>476.89550442842148</v>
      </c>
      <c r="E108">
        <f t="shared" ca="1" si="4"/>
        <v>97.06972173107502</v>
      </c>
      <c r="F108">
        <f t="shared" ca="1" si="5"/>
        <v>2.5931480577010064</v>
      </c>
      <c r="G108" s="1" t="str">
        <f t="shared" ca="1" si="3"/>
        <v>INSERT INTO tableRegionAnimalTest VALUES (' 2019-01-05 ',' 10:00 ', 'Kucing', '476.895504428421', '97.069721731075', '2.59314805770101');</v>
      </c>
    </row>
    <row r="109" spans="1:7" x14ac:dyDescent="0.25">
      <c r="A109" s="1">
        <v>43470</v>
      </c>
      <c r="B109" s="2">
        <v>0.45833333333333198</v>
      </c>
      <c r="C109" t="s">
        <v>6</v>
      </c>
      <c r="D109">
        <v>518.03065381138435</v>
      </c>
      <c r="E109">
        <f t="shared" ca="1" si="4"/>
        <v>96.886056797266022</v>
      </c>
      <c r="F109">
        <f t="shared" ca="1" si="5"/>
        <v>2.2849896891500756</v>
      </c>
      <c r="G109" s="1" t="str">
        <f t="shared" ca="1" si="3"/>
        <v>INSERT INTO tableRegionAnimalTest VALUES (' 2019-01-05 ',' 11:00 ', 'Kucing', '518.030653811384', '96.886056797266', '2.28498968915008');</v>
      </c>
    </row>
    <row r="110" spans="1:7" x14ac:dyDescent="0.25">
      <c r="A110" s="1">
        <v>43470</v>
      </c>
      <c r="B110" s="2">
        <v>0.499999999999999</v>
      </c>
      <c r="C110" t="s">
        <v>6</v>
      </c>
      <c r="D110">
        <v>603.95294164329562</v>
      </c>
      <c r="E110">
        <f t="shared" ca="1" si="4"/>
        <v>96.860101561275826</v>
      </c>
      <c r="F110">
        <f t="shared" ca="1" si="5"/>
        <v>3.1121060282553428</v>
      </c>
      <c r="G110" s="1" t="str">
        <f t="shared" ca="1" si="3"/>
        <v>INSERT INTO tableRegionAnimalTest VALUES (' 2019-01-05 ',' 12:00 ', 'Kucing', '603.952941643296', '96.8601015612758', '3.11210602825534');</v>
      </c>
    </row>
    <row r="111" spans="1:7" x14ac:dyDescent="0.25">
      <c r="A111" s="1">
        <v>43470</v>
      </c>
      <c r="B111" s="2">
        <v>0.54166666666666596</v>
      </c>
      <c r="C111" t="s">
        <v>6</v>
      </c>
      <c r="D111">
        <v>647.64791946868695</v>
      </c>
      <c r="E111">
        <f t="shared" ca="1" si="4"/>
        <v>96.595639387190801</v>
      </c>
      <c r="F111">
        <f t="shared" ca="1" si="5"/>
        <v>2.6985823558221473</v>
      </c>
      <c r="G111" s="1" t="str">
        <f t="shared" ca="1" si="3"/>
        <v>INSERT INTO tableRegionAnimalTest VALUES (' 2019-01-05 ',' 13:00 ', 'Kucing', '647.647919468687', '96.5956393871908', '2.69858235582215');</v>
      </c>
    </row>
    <row r="112" spans="1:7" x14ac:dyDescent="0.25">
      <c r="A112" s="1">
        <v>43470</v>
      </c>
      <c r="B112" s="2">
        <v>0.58333333333333204</v>
      </c>
      <c r="C112" t="s">
        <v>6</v>
      </c>
      <c r="D112">
        <v>694.34795238444065</v>
      </c>
      <c r="E112">
        <f t="shared" ca="1" si="4"/>
        <v>96.009587037908332</v>
      </c>
      <c r="F112">
        <f t="shared" ca="1" si="5"/>
        <v>1.7127085973346903</v>
      </c>
      <c r="G112" s="1" t="str">
        <f t="shared" ca="1" si="3"/>
        <v>INSERT INTO tableRegionAnimalTest VALUES (' 2019-01-05 ',' 14:00 ', 'Kucing', '694.347952384441', '96.0095870379083', '1.71270859733469');</v>
      </c>
    </row>
    <row r="113" spans="1:7" x14ac:dyDescent="0.25">
      <c r="A113" s="1">
        <v>43470</v>
      </c>
      <c r="B113" s="2">
        <v>0.624999999999999</v>
      </c>
      <c r="C113" t="s">
        <v>6</v>
      </c>
      <c r="D113">
        <v>686.7208061282455</v>
      </c>
      <c r="E113">
        <f t="shared" ca="1" si="4"/>
        <v>96.310638232722496</v>
      </c>
      <c r="F113">
        <f t="shared" ca="1" si="5"/>
        <v>2.5775626373878442</v>
      </c>
      <c r="G113" s="1" t="str">
        <f t="shared" ca="1" si="3"/>
        <v>INSERT INTO tableRegionAnimalTest VALUES (' 2019-01-05 ',' 15:00 ', 'Kucing', '686.720806128245', '96.3106382327225', '2.57756263738784');</v>
      </c>
    </row>
    <row r="114" spans="1:7" x14ac:dyDescent="0.25">
      <c r="A114" s="1">
        <v>43470</v>
      </c>
      <c r="B114" s="2">
        <v>0.66666666666666596</v>
      </c>
      <c r="C114" t="s">
        <v>6</v>
      </c>
      <c r="D114">
        <v>724.16860693593912</v>
      </c>
      <c r="E114">
        <f t="shared" ca="1" si="4"/>
        <v>96.042902239099192</v>
      </c>
      <c r="F114">
        <f t="shared" ca="1" si="5"/>
        <v>3.4192987419258398</v>
      </c>
      <c r="G114" s="1" t="str">
        <f t="shared" ca="1" si="3"/>
        <v>INSERT INTO tableRegionAnimalTest VALUES (' 2019-01-05 ',' 16:00 ', 'Kucing', '724.168606935939', '96.0429022390992', '3.41929874192584');</v>
      </c>
    </row>
    <row r="115" spans="1:7" x14ac:dyDescent="0.25">
      <c r="A115" s="1">
        <v>43470</v>
      </c>
      <c r="B115" s="2">
        <v>0.70833333333333304</v>
      </c>
      <c r="C115" t="s">
        <v>6</v>
      </c>
      <c r="D115">
        <v>740.82532507989083</v>
      </c>
      <c r="E115">
        <f t="shared" ca="1" si="4"/>
        <v>96.912836405043123</v>
      </c>
      <c r="F115">
        <f t="shared" ca="1" si="5"/>
        <v>3.6375442608032476</v>
      </c>
      <c r="G115" s="1" t="str">
        <f t="shared" ca="1" si="3"/>
        <v>INSERT INTO tableRegionAnimalTest VALUES (' 2019-01-05 ',' 17:00 ', 'Kucing', '740.825325079891', '96.9128364050431', '3.63754426080325');</v>
      </c>
    </row>
    <row r="116" spans="1:7" x14ac:dyDescent="0.25">
      <c r="A116" s="1">
        <v>43470</v>
      </c>
      <c r="B116" s="2">
        <v>0.749999999999999</v>
      </c>
      <c r="C116" t="s">
        <v>6</v>
      </c>
      <c r="D116">
        <v>717.83422234250565</v>
      </c>
      <c r="E116">
        <f t="shared" ca="1" si="4"/>
        <v>96.19445052793759</v>
      </c>
      <c r="F116">
        <f t="shared" ca="1" si="5"/>
        <v>4.3875094836605513</v>
      </c>
      <c r="G116" s="1" t="str">
        <f t="shared" ca="1" si="3"/>
        <v>INSERT INTO tableRegionAnimalTest VALUES (' 2019-01-05 ',' 18:00 ', 'Kucing', '717.834222342506', '96.1944505279376', '4.38750948366055');</v>
      </c>
    </row>
    <row r="117" spans="1:7" x14ac:dyDescent="0.25">
      <c r="A117" s="1">
        <v>43470</v>
      </c>
      <c r="B117" s="2">
        <v>0.79166666666666596</v>
      </c>
      <c r="C117" t="s">
        <v>6</v>
      </c>
      <c r="D117">
        <v>724.2831718759868</v>
      </c>
      <c r="E117">
        <f t="shared" ca="1" si="4"/>
        <v>95.764509985479037</v>
      </c>
      <c r="F117">
        <f t="shared" ca="1" si="5"/>
        <v>3.9556132172560146</v>
      </c>
      <c r="G117" s="1" t="str">
        <f t="shared" ca="1" si="3"/>
        <v>INSERT INTO tableRegionAnimalTest VALUES (' 2019-01-05 ',' 19:00 ', 'Kucing', '724.283171875987', '95.764509985479', '3.95561321725601');</v>
      </c>
    </row>
    <row r="118" spans="1:7" x14ac:dyDescent="0.25">
      <c r="A118" s="1">
        <v>43470</v>
      </c>
      <c r="B118" s="2">
        <v>0.83333333333333304</v>
      </c>
      <c r="C118" t="s">
        <v>6</v>
      </c>
      <c r="D118">
        <v>687.83409573852214</v>
      </c>
      <c r="E118">
        <f t="shared" ca="1" si="4"/>
        <v>96.156007290417961</v>
      </c>
      <c r="F118">
        <f t="shared" ca="1" si="5"/>
        <v>3.0174689960645784</v>
      </c>
      <c r="G118" s="1" t="str">
        <f t="shared" ca="1" si="3"/>
        <v>INSERT INTO tableRegionAnimalTest VALUES (' 2019-01-05 ',' 20:00 ', 'Kucing', '687.834095738522', '96.156007290418', '3.01746899606458');</v>
      </c>
    </row>
    <row r="119" spans="1:7" x14ac:dyDescent="0.25">
      <c r="A119" s="1">
        <v>43470</v>
      </c>
      <c r="B119" s="2">
        <v>0.875</v>
      </c>
      <c r="C119" t="s">
        <v>6</v>
      </c>
      <c r="D119">
        <v>614.3421836149322</v>
      </c>
      <c r="E119">
        <f t="shared" ca="1" si="4"/>
        <v>96.076614876920388</v>
      </c>
      <c r="F119">
        <f t="shared" ca="1" si="5"/>
        <v>2.1028857064952544</v>
      </c>
      <c r="G119" s="1" t="str">
        <f t="shared" ca="1" si="3"/>
        <v>INSERT INTO tableRegionAnimalTest VALUES (' 2019-01-05 ',' 21:00 ', 'Kucing', '614.342183614932', '96.0766148769204', '2.10288570649525');</v>
      </c>
    </row>
    <row r="120" spans="1:7" x14ac:dyDescent="0.25">
      <c r="A120" s="1">
        <v>43470</v>
      </c>
      <c r="B120" s="2">
        <v>0.91666666666666663</v>
      </c>
      <c r="C120" t="s">
        <v>6</v>
      </c>
      <c r="D120">
        <v>551.47344960529233</v>
      </c>
      <c r="E120">
        <f t="shared" ca="1" si="4"/>
        <v>96.007579633930163</v>
      </c>
      <c r="F120">
        <f t="shared" ca="1" si="5"/>
        <v>2.7153975840297484</v>
      </c>
      <c r="G120" s="1" t="str">
        <f t="shared" ca="1" si="3"/>
        <v>INSERT INTO tableRegionAnimalTest VALUES (' 2019-01-05 ',' 22:00 ', 'Kucing', '551.473449605292', '96.0075796339302', '2.71539758402975');</v>
      </c>
    </row>
    <row r="121" spans="1:7" x14ac:dyDescent="0.25">
      <c r="A121" s="1">
        <v>43470</v>
      </c>
      <c r="B121" s="2">
        <v>0.95833333333333337</v>
      </c>
      <c r="C121" t="s">
        <v>6</v>
      </c>
      <c r="D121">
        <v>558.42509301023472</v>
      </c>
      <c r="E121">
        <f t="shared" ca="1" si="4"/>
        <v>96.901518667820085</v>
      </c>
      <c r="F121">
        <f t="shared" ca="1" si="5"/>
        <v>2.77080279306956</v>
      </c>
      <c r="G121" s="1" t="str">
        <f t="shared" ca="1" si="3"/>
        <v>INSERT INTO tableRegionAnimalTest VALUES (' 2019-01-05 ',' 23:00 ', 'Kucing', '558.425093010235', '96.9015186678201', '2.77080279306956');</v>
      </c>
    </row>
    <row r="122" spans="1:7" x14ac:dyDescent="0.25">
      <c r="A122" s="1">
        <v>43471</v>
      </c>
      <c r="B122" s="2">
        <v>0</v>
      </c>
      <c r="C122" t="s">
        <v>6</v>
      </c>
      <c r="D122">
        <v>487.74150182724321</v>
      </c>
      <c r="E122">
        <f t="shared" ca="1" si="4"/>
        <v>97.482822870122234</v>
      </c>
      <c r="F122">
        <f t="shared" ca="1" si="5"/>
        <v>3.5774703067532876</v>
      </c>
      <c r="G122" s="1" t="str">
        <f t="shared" ca="1" si="3"/>
        <v>INSERT INTO tableRegionAnimalTest VALUES (' 2019-01-06 ',' 00:00 ', 'Kucing', '487.741501827243', '97.4828228701222', '3.57747030675329');</v>
      </c>
    </row>
    <row r="123" spans="1:7" x14ac:dyDescent="0.25">
      <c r="A123" s="1">
        <v>43471</v>
      </c>
      <c r="B123" s="2">
        <v>4.1666666666665401E-2</v>
      </c>
      <c r="C123" t="s">
        <v>6</v>
      </c>
      <c r="D123">
        <v>401.09905089162243</v>
      </c>
      <c r="E123">
        <f t="shared" ca="1" si="4"/>
        <v>97.956248436105128</v>
      </c>
      <c r="F123">
        <f t="shared" ca="1" si="5"/>
        <v>4.3462159802736444</v>
      </c>
      <c r="G123" s="1" t="str">
        <f t="shared" ca="1" si="3"/>
        <v>INSERT INTO tableRegionAnimalTest VALUES (' 2019-01-06 ',' 01:00 ', 'Kucing', '401.099050891622', '97.9562484361051', '4.34621598027364');</v>
      </c>
    </row>
    <row r="124" spans="1:7" x14ac:dyDescent="0.25">
      <c r="A124" s="1">
        <v>43471</v>
      </c>
      <c r="B124" s="2">
        <v>8.33333333333314E-2</v>
      </c>
      <c r="C124" t="s">
        <v>6</v>
      </c>
      <c r="D124">
        <v>378.89955148079684</v>
      </c>
      <c r="E124">
        <f t="shared" ca="1" si="4"/>
        <v>98.52137146861827</v>
      </c>
      <c r="F124">
        <f t="shared" ca="1" si="5"/>
        <v>3.3568515076392993</v>
      </c>
      <c r="G124" s="1" t="str">
        <f t="shared" ca="1" si="3"/>
        <v>INSERT INTO tableRegionAnimalTest VALUES (' 2019-01-06 ',' 02:00 ', 'Kucing', '378.899551480797', '98.5213714686183', '3.3568515076393');</v>
      </c>
    </row>
    <row r="125" spans="1:7" x14ac:dyDescent="0.25">
      <c r="A125" s="1">
        <v>43471</v>
      </c>
      <c r="B125" s="2">
        <v>0.124999999999998</v>
      </c>
      <c r="C125" t="s">
        <v>6</v>
      </c>
      <c r="D125">
        <v>337.44798560301479</v>
      </c>
      <c r="E125">
        <f t="shared" ca="1" si="4"/>
        <v>99.055862630133745</v>
      </c>
      <c r="F125">
        <f t="shared" ca="1" si="5"/>
        <v>2.9600999083940485</v>
      </c>
      <c r="G125" s="1" t="str">
        <f t="shared" ca="1" si="3"/>
        <v>INSERT INTO tableRegionAnimalTest VALUES (' 2019-01-06 ',' 03:00 ', 'Kucing', '337.447985603015', '99.0558626301337', '2.96009990839405');</v>
      </c>
    </row>
    <row r="126" spans="1:7" x14ac:dyDescent="0.25">
      <c r="A126" s="1">
        <v>43471</v>
      </c>
      <c r="B126" s="2">
        <v>0.16666666666666499</v>
      </c>
      <c r="C126" t="s">
        <v>6</v>
      </c>
      <c r="D126">
        <v>315.84433512128811</v>
      </c>
      <c r="E126">
        <f t="shared" ca="1" si="4"/>
        <v>98.32186050178332</v>
      </c>
      <c r="F126">
        <f t="shared" ca="1" si="5"/>
        <v>2.9196162034241775</v>
      </c>
      <c r="G126" s="1" t="str">
        <f t="shared" ca="1" si="3"/>
        <v>INSERT INTO tableRegionAnimalTest VALUES (' 2019-01-06 ',' 04:00 ', 'Kucing', '315.844335121288', '98.3218605017833', '2.91961620342418');</v>
      </c>
    </row>
    <row r="127" spans="1:7" x14ac:dyDescent="0.25">
      <c r="A127" s="1">
        <v>43471</v>
      </c>
      <c r="B127" s="2">
        <v>0.20833333333333201</v>
      </c>
      <c r="C127" t="s">
        <v>6</v>
      </c>
      <c r="D127">
        <v>337.03591343954417</v>
      </c>
      <c r="E127">
        <f t="shared" ca="1" si="4"/>
        <v>98.398403981806666</v>
      </c>
      <c r="F127">
        <f t="shared" ca="1" si="5"/>
        <v>2.9556071787501024</v>
      </c>
      <c r="G127" s="1" t="str">
        <f t="shared" ca="1" si="3"/>
        <v>INSERT INTO tableRegionAnimalTest VALUES (' 2019-01-06 ',' 05:00 ', 'Kucing', '337.035913439544', '98.3984039818067', '2.9556071787501');</v>
      </c>
    </row>
    <row r="128" spans="1:7" x14ac:dyDescent="0.25">
      <c r="A128" s="1">
        <v>43471</v>
      </c>
      <c r="B128" s="2">
        <v>0.249999999999998</v>
      </c>
      <c r="C128" t="s">
        <v>6</v>
      </c>
      <c r="D128">
        <v>343.74275303314693</v>
      </c>
      <c r="E128">
        <f t="shared" ca="1" si="4"/>
        <v>97.927935094512605</v>
      </c>
      <c r="F128">
        <f t="shared" ca="1" si="5"/>
        <v>3.4888656742911079</v>
      </c>
      <c r="G128" s="1" t="str">
        <f t="shared" ca="1" si="3"/>
        <v>INSERT INTO tableRegionAnimalTest VALUES (' 2019-01-06 ',' 06:00 ', 'Kucing', '343.742753033147', '97.9279350945126', '3.48886567429111');</v>
      </c>
    </row>
    <row r="129" spans="1:7" x14ac:dyDescent="0.25">
      <c r="A129" s="1">
        <v>43471</v>
      </c>
      <c r="B129" s="2">
        <v>0.29166666666666502</v>
      </c>
      <c r="C129" t="s">
        <v>6</v>
      </c>
      <c r="D129">
        <v>365.68750271590989</v>
      </c>
      <c r="E129">
        <f t="shared" ca="1" si="4"/>
        <v>97.395396006720787</v>
      </c>
      <c r="F129">
        <f t="shared" ca="1" si="5"/>
        <v>2.9662973517397928</v>
      </c>
      <c r="G129" s="1" t="str">
        <f t="shared" ca="1" si="3"/>
        <v>INSERT INTO tableRegionAnimalTest VALUES (' 2019-01-06 ',' 07:00 ', 'Kucing', '365.68750271591', '97.3953960067208', '2.96629735173979');</v>
      </c>
    </row>
    <row r="130" spans="1:7" x14ac:dyDescent="0.25">
      <c r="A130" s="1">
        <v>43471</v>
      </c>
      <c r="B130" s="2">
        <v>0.33333333333333198</v>
      </c>
      <c r="C130" t="s">
        <v>6</v>
      </c>
      <c r="D130">
        <v>394.37811087076858</v>
      </c>
      <c r="E130">
        <f t="shared" ca="1" si="4"/>
        <v>98.086868301721026</v>
      </c>
      <c r="F130">
        <f t="shared" ca="1" si="5"/>
        <v>2.3060635764868507</v>
      </c>
      <c r="G130" s="1" t="str">
        <f t="shared" ca="1" si="3"/>
        <v>INSERT INTO tableRegionAnimalTest VALUES (' 2019-01-06 ',' 08:00 ', 'Kucing', '394.378110870769', '98.086868301721', '2.30606357648685');</v>
      </c>
    </row>
    <row r="131" spans="1:7" x14ac:dyDescent="0.25">
      <c r="A131" s="1">
        <v>43471</v>
      </c>
      <c r="B131" s="2">
        <v>0.374999999999999</v>
      </c>
      <c r="C131" t="s">
        <v>6</v>
      </c>
      <c r="D131">
        <v>417.27606755598373</v>
      </c>
      <c r="E131">
        <f t="shared" ca="1" si="4"/>
        <v>98.055311580747059</v>
      </c>
      <c r="F131">
        <f t="shared" ca="1" si="5"/>
        <v>1.9796904626586711</v>
      </c>
      <c r="G131" s="1" t="str">
        <f t="shared" ref="G131:G194" ca="1" si="6">"INSERT INTO tableRegionAnimalTest VALUES (' "&amp;TEXT(A131,"yyyy-mm-dd")&amp;" ',' "&amp;TEXT(B131,"hh:mm")&amp;" ', '"&amp;C131&amp;"', '"&amp;D131&amp;"', '"&amp;E131&amp;"', '"&amp;F131&amp;"');"</f>
        <v>INSERT INTO tableRegionAnimalTest VALUES (' 2019-01-06 ',' 09:00 ', 'Kucing', '417.276067555984', '98.0553115807471', '1.97969046265867');</v>
      </c>
    </row>
    <row r="132" spans="1:7" x14ac:dyDescent="0.25">
      <c r="A132" s="1">
        <v>43471</v>
      </c>
      <c r="B132" s="2">
        <v>0.41666666666666502</v>
      </c>
      <c r="C132" t="s">
        <v>6</v>
      </c>
      <c r="D132">
        <v>456.1362654671762</v>
      </c>
      <c r="E132">
        <f t="shared" ref="E132:E195" ca="1" si="7">IF(E131&gt;=99, -(RAND()*1)+E131, IF(E131&lt;=81, (RAND()*1) +E131, (RAND()*1)* (RANDBETWEEN(0,1)*2-1) +E131))</f>
        <v>98.902209921238764</v>
      </c>
      <c r="F132">
        <f t="shared" ref="F132:F195" ca="1" si="8">IF(F131&gt;=5, -(RAND()*1)+F131, IF(F131&lt;=1, (RAND()*1) +F131, (RAND()*1)* (RANDBETWEEN(0,1)*2-1) +F131))</f>
        <v>1.9894403460699261</v>
      </c>
      <c r="G132" s="1" t="str">
        <f t="shared" ca="1" si="6"/>
        <v>INSERT INTO tableRegionAnimalTest VALUES (' 2019-01-06 ',' 10:00 ', 'Kucing', '456.136265467176', '98.9022099212388', '1.98944034606993');</v>
      </c>
    </row>
    <row r="133" spans="1:7" x14ac:dyDescent="0.25">
      <c r="A133" s="1">
        <v>43471</v>
      </c>
      <c r="B133" s="2">
        <v>0.45833333333333198</v>
      </c>
      <c r="C133" t="s">
        <v>6</v>
      </c>
      <c r="D133">
        <v>516.84992804392186</v>
      </c>
      <c r="E133">
        <f t="shared" ca="1" si="7"/>
        <v>99.674579295408705</v>
      </c>
      <c r="F133">
        <f t="shared" ca="1" si="8"/>
        <v>1.6378827669522553</v>
      </c>
      <c r="G133" s="1" t="str">
        <f t="shared" ca="1" si="6"/>
        <v>INSERT INTO tableRegionAnimalTest VALUES (' 2019-01-06 ',' 11:00 ', 'Kucing', '516.849928043922', '99.6745792954087', '1.63788276695226');</v>
      </c>
    </row>
    <row r="134" spans="1:7" x14ac:dyDescent="0.25">
      <c r="A134" s="1">
        <v>43471</v>
      </c>
      <c r="B134" s="2">
        <v>0.499999999999999</v>
      </c>
      <c r="C134" t="s">
        <v>6</v>
      </c>
      <c r="D134">
        <v>583.61838227024737</v>
      </c>
      <c r="E134">
        <f t="shared" ca="1" si="7"/>
        <v>99.083847051186396</v>
      </c>
      <c r="F134">
        <f t="shared" ca="1" si="8"/>
        <v>1.4491826729653541</v>
      </c>
      <c r="G134" s="1" t="str">
        <f t="shared" ca="1" si="6"/>
        <v>INSERT INTO tableRegionAnimalTest VALUES (' 2019-01-06 ',' 12:00 ', 'Kucing', '583.618382270247', '99.0838470511864', '1.44918267296535');</v>
      </c>
    </row>
    <row r="135" spans="1:7" x14ac:dyDescent="0.25">
      <c r="A135" s="1">
        <v>43471</v>
      </c>
      <c r="B135" s="2">
        <v>0.54166666666666596</v>
      </c>
      <c r="C135" t="s">
        <v>6</v>
      </c>
      <c r="D135">
        <v>637.0462730779185</v>
      </c>
      <c r="E135">
        <f t="shared" ca="1" si="7"/>
        <v>98.55681856878968</v>
      </c>
      <c r="F135">
        <f t="shared" ca="1" si="8"/>
        <v>0.87789530420011841</v>
      </c>
      <c r="G135" s="1" t="str">
        <f t="shared" ca="1" si="6"/>
        <v>INSERT INTO tableRegionAnimalTest VALUES (' 2019-01-06 ',' 13:00 ', 'Kucing', '637.046273077918', '98.5568185687897', '0.877895304200118');</v>
      </c>
    </row>
    <row r="136" spans="1:7" x14ac:dyDescent="0.25">
      <c r="A136" s="1">
        <v>43471</v>
      </c>
      <c r="B136" s="2">
        <v>0.58333333333333204</v>
      </c>
      <c r="C136" t="s">
        <v>6</v>
      </c>
      <c r="D136">
        <v>679.45734531062931</v>
      </c>
      <c r="E136">
        <f t="shared" ca="1" si="7"/>
        <v>97.872927994782899</v>
      </c>
      <c r="F136">
        <f t="shared" ca="1" si="8"/>
        <v>1.7333925187777917</v>
      </c>
      <c r="G136" s="1" t="str">
        <f t="shared" ca="1" si="6"/>
        <v>INSERT INTO tableRegionAnimalTest VALUES (' 2019-01-06 ',' 14:00 ', 'Kucing', '679.457345310629', '97.8729279947829', '1.73339251877779');</v>
      </c>
    </row>
    <row r="137" spans="1:7" x14ac:dyDescent="0.25">
      <c r="A137" s="1">
        <v>43471</v>
      </c>
      <c r="B137" s="2">
        <v>0.624999999999999</v>
      </c>
      <c r="C137" t="s">
        <v>6</v>
      </c>
      <c r="D137">
        <v>717.46848880142397</v>
      </c>
      <c r="E137">
        <f t="shared" ca="1" si="7"/>
        <v>98.320041072073408</v>
      </c>
      <c r="F137">
        <f t="shared" ca="1" si="8"/>
        <v>2.3179153284591423</v>
      </c>
      <c r="G137" s="1" t="str">
        <f t="shared" ca="1" si="6"/>
        <v>INSERT INTO tableRegionAnimalTest VALUES (' 2019-01-06 ',' 15:00 ', 'Kucing', '717.468488801424', '98.3200410720734', '2.31791532845914');</v>
      </c>
    </row>
    <row r="138" spans="1:7" x14ac:dyDescent="0.25">
      <c r="A138" s="1">
        <v>43471</v>
      </c>
      <c r="B138" s="2">
        <v>0.66666666666666596</v>
      </c>
      <c r="C138" t="s">
        <v>6</v>
      </c>
      <c r="D138">
        <v>718.27375250056014</v>
      </c>
      <c r="E138">
        <f t="shared" ca="1" si="7"/>
        <v>98.288000297662876</v>
      </c>
      <c r="F138">
        <f t="shared" ca="1" si="8"/>
        <v>2.2374989887558581</v>
      </c>
      <c r="G138" s="1" t="str">
        <f t="shared" ca="1" si="6"/>
        <v>INSERT INTO tableRegionAnimalTest VALUES (' 2019-01-06 ',' 16:00 ', 'Kucing', '718.27375250056', '98.2880002976629', '2.23749898875586');</v>
      </c>
    </row>
    <row r="139" spans="1:7" x14ac:dyDescent="0.25">
      <c r="A139" s="1">
        <v>43471</v>
      </c>
      <c r="B139" s="2">
        <v>0.70833333333333304</v>
      </c>
      <c r="C139" t="s">
        <v>6</v>
      </c>
      <c r="D139">
        <v>738.47092064059802</v>
      </c>
      <c r="E139">
        <f t="shared" ca="1" si="7"/>
        <v>98.585808682050427</v>
      </c>
      <c r="F139">
        <f t="shared" ca="1" si="8"/>
        <v>1.3642519024751252</v>
      </c>
      <c r="G139" s="1" t="str">
        <f t="shared" ca="1" si="6"/>
        <v>INSERT INTO tableRegionAnimalTest VALUES (' 2019-01-06 ',' 17:00 ', 'Kucing', '738.470920640598', '98.5858086820504', '1.36425190247513');</v>
      </c>
    </row>
    <row r="140" spans="1:7" x14ac:dyDescent="0.25">
      <c r="A140" s="1">
        <v>43471</v>
      </c>
      <c r="B140" s="2">
        <v>0.749999999999999</v>
      </c>
      <c r="C140" t="s">
        <v>6</v>
      </c>
      <c r="D140">
        <v>737.2543481371448</v>
      </c>
      <c r="E140">
        <f t="shared" ca="1" si="7"/>
        <v>98.206787790512635</v>
      </c>
      <c r="F140">
        <f t="shared" ca="1" si="8"/>
        <v>1.2958221508320837</v>
      </c>
      <c r="G140" s="1" t="str">
        <f t="shared" ca="1" si="6"/>
        <v>INSERT INTO tableRegionAnimalTest VALUES (' 2019-01-06 ',' 18:00 ', 'Kucing', '737.254348137145', '98.2067877905126', '1.29582215083208');</v>
      </c>
    </row>
    <row r="141" spans="1:7" x14ac:dyDescent="0.25">
      <c r="A141" s="1">
        <v>43471</v>
      </c>
      <c r="B141" s="2">
        <v>0.79166666666666596</v>
      </c>
      <c r="C141" t="s">
        <v>6</v>
      </c>
      <c r="D141">
        <v>715.37156159063215</v>
      </c>
      <c r="E141">
        <f t="shared" ca="1" si="7"/>
        <v>97.925859906833068</v>
      </c>
      <c r="F141">
        <f t="shared" ca="1" si="8"/>
        <v>0.29990941952302486</v>
      </c>
      <c r="G141" s="1" t="str">
        <f t="shared" ca="1" si="6"/>
        <v>INSERT INTO tableRegionAnimalTest VALUES (' 2019-01-06 ',' 19:00 ', 'Kucing', '715.371561590632', '97.9258599068331', '0.299909419523025');</v>
      </c>
    </row>
    <row r="142" spans="1:7" x14ac:dyDescent="0.25">
      <c r="A142" s="1">
        <v>43471</v>
      </c>
      <c r="B142" s="2">
        <v>0.83333333333333304</v>
      </c>
      <c r="C142" t="s">
        <v>6</v>
      </c>
      <c r="D142">
        <v>686.50182858517439</v>
      </c>
      <c r="E142">
        <f t="shared" ca="1" si="7"/>
        <v>98.313360021190746</v>
      </c>
      <c r="F142">
        <f t="shared" ca="1" si="8"/>
        <v>1.2978697653185671</v>
      </c>
      <c r="G142" s="1" t="str">
        <f t="shared" ca="1" si="6"/>
        <v>INSERT INTO tableRegionAnimalTest VALUES (' 2019-01-06 ',' 20:00 ', 'Kucing', '686.501828585174', '98.3133600211907', '1.29786976531857');</v>
      </c>
    </row>
    <row r="143" spans="1:7" x14ac:dyDescent="0.25">
      <c r="A143" s="1">
        <v>43471</v>
      </c>
      <c r="B143" s="2">
        <v>0.875</v>
      </c>
      <c r="C143" t="s">
        <v>6</v>
      </c>
      <c r="D143">
        <v>618.40677099290292</v>
      </c>
      <c r="E143">
        <f t="shared" ca="1" si="7"/>
        <v>99.171157047931786</v>
      </c>
      <c r="F143">
        <f t="shared" ca="1" si="8"/>
        <v>1.4406576144941536</v>
      </c>
      <c r="G143" s="1" t="str">
        <f t="shared" ca="1" si="6"/>
        <v>INSERT INTO tableRegionAnimalTest VALUES (' 2019-01-06 ',' 21:00 ', 'Kucing', '618.406770992903', '99.1711570479318', '1.44065761449415');</v>
      </c>
    </row>
    <row r="144" spans="1:7" x14ac:dyDescent="0.25">
      <c r="A144" s="1">
        <v>43471</v>
      </c>
      <c r="B144" s="2">
        <v>0.91666666666666663</v>
      </c>
      <c r="C144" t="s">
        <v>6</v>
      </c>
      <c r="D144">
        <v>553.20757104974359</v>
      </c>
      <c r="E144">
        <f t="shared" ca="1" si="7"/>
        <v>98.33036830874245</v>
      </c>
      <c r="F144">
        <f t="shared" ca="1" si="8"/>
        <v>1.1772826962620089</v>
      </c>
      <c r="G144" s="1" t="str">
        <f t="shared" ca="1" si="6"/>
        <v>INSERT INTO tableRegionAnimalTest VALUES (' 2019-01-06 ',' 22:00 ', 'Kucing', '553.207571049744', '98.3303683087425', '1.17728269626201');</v>
      </c>
    </row>
    <row r="145" spans="1:7" x14ac:dyDescent="0.25">
      <c r="A145" s="1">
        <v>43471</v>
      </c>
      <c r="B145" s="2">
        <v>0.95833333333333337</v>
      </c>
      <c r="C145" t="s">
        <v>6</v>
      </c>
      <c r="D145">
        <v>504.94860070965461</v>
      </c>
      <c r="E145">
        <f t="shared" ca="1" si="7"/>
        <v>98.109434930073945</v>
      </c>
      <c r="F145">
        <f t="shared" ca="1" si="8"/>
        <v>1.9442086113204309</v>
      </c>
      <c r="G145" s="1" t="str">
        <f t="shared" ca="1" si="6"/>
        <v>INSERT INTO tableRegionAnimalTest VALUES (' 2019-01-06 ',' 23:00 ', 'Kucing', '504.948600709655', '98.1094349300739', '1.94420861132043');</v>
      </c>
    </row>
    <row r="146" spans="1:7" x14ac:dyDescent="0.25">
      <c r="A146" s="1">
        <v>43472</v>
      </c>
      <c r="B146" s="2">
        <v>0</v>
      </c>
      <c r="C146" t="s">
        <v>6</v>
      </c>
      <c r="D146">
        <v>453.46616444097828</v>
      </c>
      <c r="E146">
        <f t="shared" ca="1" si="7"/>
        <v>98.615068750367513</v>
      </c>
      <c r="F146">
        <f t="shared" ca="1" si="8"/>
        <v>1.0042105535864716</v>
      </c>
      <c r="G146" s="1" t="str">
        <f t="shared" ca="1" si="6"/>
        <v>INSERT INTO tableRegionAnimalTest VALUES (' 2019-01-07 ',' 00:00 ', 'Kucing', '453.466164440978', '98.6150687503675', '1.00421055358647');</v>
      </c>
    </row>
    <row r="147" spans="1:7" x14ac:dyDescent="0.25">
      <c r="A147" s="1">
        <v>43472</v>
      </c>
      <c r="B147" s="2">
        <v>4.1666666666665401E-2</v>
      </c>
      <c r="C147" t="s">
        <v>6</v>
      </c>
      <c r="D147">
        <v>426.55104693111059</v>
      </c>
      <c r="E147">
        <f t="shared" ca="1" si="7"/>
        <v>99.211236763938416</v>
      </c>
      <c r="F147">
        <f t="shared" ca="1" si="8"/>
        <v>0.27273103184226744</v>
      </c>
      <c r="G147" s="1" t="str">
        <f t="shared" ca="1" si="6"/>
        <v>INSERT INTO tableRegionAnimalTest VALUES (' 2019-01-07 ',' 01:00 ', 'Kucing', '426.551046931111', '99.2112367639384', '0.272731031842267');</v>
      </c>
    </row>
    <row r="148" spans="1:7" x14ac:dyDescent="0.25">
      <c r="A148" s="1">
        <v>43472</v>
      </c>
      <c r="B148" s="2">
        <v>8.33333333333314E-2</v>
      </c>
      <c r="C148" t="s">
        <v>6</v>
      </c>
      <c r="D148">
        <v>382.44913254256488</v>
      </c>
      <c r="E148">
        <f t="shared" ca="1" si="7"/>
        <v>98.272864511727803</v>
      </c>
      <c r="F148">
        <f t="shared" ca="1" si="8"/>
        <v>1.0499665583307141</v>
      </c>
      <c r="G148" s="1" t="str">
        <f t="shared" ca="1" si="6"/>
        <v>INSERT INTO tableRegionAnimalTest VALUES (' 2019-01-07 ',' 02:00 ', 'Kucing', '382.449132542565', '98.2728645117278', '1.04996655833071');</v>
      </c>
    </row>
    <row r="149" spans="1:7" x14ac:dyDescent="0.25">
      <c r="A149" s="1">
        <v>43472</v>
      </c>
      <c r="B149" s="2">
        <v>0.124999999999998</v>
      </c>
      <c r="C149" t="s">
        <v>6</v>
      </c>
      <c r="D149">
        <v>365.72583300030772</v>
      </c>
      <c r="E149">
        <f t="shared" ca="1" si="7"/>
        <v>97.311341080211278</v>
      </c>
      <c r="F149">
        <f t="shared" ca="1" si="8"/>
        <v>0.72728978584588133</v>
      </c>
      <c r="G149" s="1" t="str">
        <f t="shared" ca="1" si="6"/>
        <v>INSERT INTO tableRegionAnimalTest VALUES (' 2019-01-07 ',' 03:00 ', 'Kucing', '365.725833000308', '97.3113410802113', '0.727289785845881');</v>
      </c>
    </row>
    <row r="150" spans="1:7" x14ac:dyDescent="0.25">
      <c r="A150" s="1">
        <v>43472</v>
      </c>
      <c r="B150" s="2">
        <v>0.16666666666666499</v>
      </c>
      <c r="C150" t="s">
        <v>6</v>
      </c>
      <c r="D150">
        <v>332.96264296614549</v>
      </c>
      <c r="E150">
        <f t="shared" ca="1" si="7"/>
        <v>97.066052226838565</v>
      </c>
      <c r="F150">
        <f t="shared" ca="1" si="8"/>
        <v>0.98519118210506818</v>
      </c>
      <c r="G150" s="1" t="str">
        <f t="shared" ca="1" si="6"/>
        <v>INSERT INTO tableRegionAnimalTest VALUES (' 2019-01-07 ',' 04:00 ', 'Kucing', '332.962642966145', '97.0660522268386', '0.985191182105068');</v>
      </c>
    </row>
    <row r="151" spans="1:7" x14ac:dyDescent="0.25">
      <c r="A151" s="1">
        <v>43472</v>
      </c>
      <c r="B151" s="2">
        <v>0.20833333333333201</v>
      </c>
      <c r="C151" t="s">
        <v>6</v>
      </c>
      <c r="D151">
        <v>332.38718517666337</v>
      </c>
      <c r="E151">
        <f t="shared" ca="1" si="7"/>
        <v>97.782588871668679</v>
      </c>
      <c r="F151">
        <f t="shared" ca="1" si="8"/>
        <v>1.5036076790039039</v>
      </c>
      <c r="G151" s="1" t="str">
        <f t="shared" ca="1" si="6"/>
        <v>INSERT INTO tableRegionAnimalTest VALUES (' 2019-01-07 ',' 05:00 ', 'Kucing', '332.387185176663', '97.7825888716687', '1.5036076790039');</v>
      </c>
    </row>
    <row r="152" spans="1:7" x14ac:dyDescent="0.25">
      <c r="A152" s="1">
        <v>43472</v>
      </c>
      <c r="B152" s="2">
        <v>0.249999999999998</v>
      </c>
      <c r="C152" t="s">
        <v>6</v>
      </c>
      <c r="D152">
        <v>332.35136683378613</v>
      </c>
      <c r="E152">
        <f t="shared" ca="1" si="7"/>
        <v>97.480057798068202</v>
      </c>
      <c r="F152">
        <f t="shared" ca="1" si="8"/>
        <v>0.53000500326482114</v>
      </c>
      <c r="G152" s="1" t="str">
        <f t="shared" ca="1" si="6"/>
        <v>INSERT INTO tableRegionAnimalTest VALUES (' 2019-01-07 ',' 06:00 ', 'Kucing', '332.351366833786', '97.4800577980682', '0.530005003264821');</v>
      </c>
    </row>
    <row r="153" spans="1:7" x14ac:dyDescent="0.25">
      <c r="A153" s="1">
        <v>43472</v>
      </c>
      <c r="B153" s="2">
        <v>0.29166666666666502</v>
      </c>
      <c r="C153" t="s">
        <v>6</v>
      </c>
      <c r="D153">
        <v>371.41008645237991</v>
      </c>
      <c r="E153">
        <f t="shared" ca="1" si="7"/>
        <v>96.852997877380304</v>
      </c>
      <c r="F153">
        <f t="shared" ca="1" si="8"/>
        <v>1.4415889843717797</v>
      </c>
      <c r="G153" s="1" t="str">
        <f t="shared" ca="1" si="6"/>
        <v>INSERT INTO tableRegionAnimalTest VALUES (' 2019-01-07 ',' 07:00 ', 'Kucing', '371.41008645238', '96.8529978773803', '1.44158898437178');</v>
      </c>
    </row>
    <row r="154" spans="1:7" x14ac:dyDescent="0.25">
      <c r="A154" s="1">
        <v>43472</v>
      </c>
      <c r="B154" s="2">
        <v>0.33333333333333198</v>
      </c>
      <c r="C154" t="s">
        <v>6</v>
      </c>
      <c r="D154">
        <v>397.12786028448875</v>
      </c>
      <c r="E154">
        <f t="shared" ca="1" si="7"/>
        <v>97.2715873306596</v>
      </c>
      <c r="F154">
        <f t="shared" ca="1" si="8"/>
        <v>1.4312627278529815</v>
      </c>
      <c r="G154" s="1" t="str">
        <f t="shared" ca="1" si="6"/>
        <v>INSERT INTO tableRegionAnimalTest VALUES (' 2019-01-07 ',' 08:00 ', 'Kucing', '397.127860284489', '97.2715873306596', '1.43126272785298');</v>
      </c>
    </row>
    <row r="155" spans="1:7" x14ac:dyDescent="0.25">
      <c r="A155" s="1">
        <v>43472</v>
      </c>
      <c r="B155" s="2">
        <v>0.374999999999999</v>
      </c>
      <c r="C155" t="s">
        <v>6</v>
      </c>
      <c r="D155">
        <v>464.56553570078603</v>
      </c>
      <c r="E155">
        <f t="shared" ca="1" si="7"/>
        <v>97.46789695259902</v>
      </c>
      <c r="F155">
        <f t="shared" ca="1" si="8"/>
        <v>0.48825930418166474</v>
      </c>
      <c r="G155" s="1" t="str">
        <f t="shared" ca="1" si="6"/>
        <v>INSERT INTO tableRegionAnimalTest VALUES (' 2019-01-07 ',' 09:00 ', 'Kucing', '464.565535700786', '97.467896952599', '0.488259304181665');</v>
      </c>
    </row>
    <row r="156" spans="1:7" x14ac:dyDescent="0.25">
      <c r="A156" s="1">
        <v>43472</v>
      </c>
      <c r="B156" s="2">
        <v>0.41666666666666502</v>
      </c>
      <c r="C156" t="s">
        <v>6</v>
      </c>
      <c r="D156">
        <v>493.75436837564587</v>
      </c>
      <c r="E156">
        <f t="shared" ca="1" si="7"/>
        <v>97.281032417832336</v>
      </c>
      <c r="F156">
        <f t="shared" ca="1" si="8"/>
        <v>0.91039572394526913</v>
      </c>
      <c r="G156" s="1" t="str">
        <f t="shared" ca="1" si="6"/>
        <v>INSERT INTO tableRegionAnimalTest VALUES (' 2019-01-07 ',' 10:00 ', 'Kucing', '493.754368375646', '97.2810324178323', '0.910395723945269');</v>
      </c>
    </row>
    <row r="157" spans="1:7" x14ac:dyDescent="0.25">
      <c r="A157" s="1">
        <v>43472</v>
      </c>
      <c r="B157" s="2">
        <v>0.45833333333333198</v>
      </c>
      <c r="C157" t="s">
        <v>6</v>
      </c>
      <c r="D157">
        <v>517.53128763883797</v>
      </c>
      <c r="E157">
        <f t="shared" ca="1" si="7"/>
        <v>97.319736107812261</v>
      </c>
      <c r="F157">
        <f t="shared" ca="1" si="8"/>
        <v>1.2181840661413261</v>
      </c>
      <c r="G157" s="1" t="str">
        <f t="shared" ca="1" si="6"/>
        <v>INSERT INTO tableRegionAnimalTest VALUES (' 2019-01-07 ',' 11:00 ', 'Kucing', '517.531287638838', '97.3197361078123', '1.21818406614133');</v>
      </c>
    </row>
    <row r="158" spans="1:7" x14ac:dyDescent="0.25">
      <c r="A158" s="1">
        <v>43472</v>
      </c>
      <c r="B158" s="2">
        <v>0.499999999999999</v>
      </c>
      <c r="C158" t="s">
        <v>6</v>
      </c>
      <c r="D158">
        <v>571.67419207954424</v>
      </c>
      <c r="E158">
        <f t="shared" ca="1" si="7"/>
        <v>97.445760097783193</v>
      </c>
      <c r="F158">
        <f t="shared" ca="1" si="8"/>
        <v>1.5339719745728664</v>
      </c>
      <c r="G158" s="1" t="str">
        <f t="shared" ca="1" si="6"/>
        <v>INSERT INTO tableRegionAnimalTest VALUES (' 2019-01-07 ',' 12:00 ', 'Kucing', '571.674192079544', '97.4457600977832', '1.53397197457287');</v>
      </c>
    </row>
    <row r="159" spans="1:7" x14ac:dyDescent="0.25">
      <c r="A159" s="1">
        <v>43472</v>
      </c>
      <c r="B159" s="2">
        <v>0.54166666666666596</v>
      </c>
      <c r="C159" t="s">
        <v>6</v>
      </c>
      <c r="D159">
        <v>656.81666657130847</v>
      </c>
      <c r="E159">
        <f t="shared" ca="1" si="7"/>
        <v>98.310024667254723</v>
      </c>
      <c r="F159">
        <f t="shared" ca="1" si="8"/>
        <v>0.55316744911189764</v>
      </c>
      <c r="G159" s="1" t="str">
        <f t="shared" ca="1" si="6"/>
        <v>INSERT INTO tableRegionAnimalTest VALUES (' 2019-01-07 ',' 13:00 ', 'Kucing', '656.816666571308', '98.3100246672547', '0.553167449111898');</v>
      </c>
    </row>
    <row r="160" spans="1:7" x14ac:dyDescent="0.25">
      <c r="A160" s="1">
        <v>43472</v>
      </c>
      <c r="B160" s="2">
        <v>0.58333333333333204</v>
      </c>
      <c r="C160" t="s">
        <v>6</v>
      </c>
      <c r="D160">
        <v>700.41275258135238</v>
      </c>
      <c r="E160">
        <f t="shared" ca="1" si="7"/>
        <v>97.440442798685822</v>
      </c>
      <c r="F160">
        <f t="shared" ca="1" si="8"/>
        <v>1.5513639363621976</v>
      </c>
      <c r="G160" s="1" t="str">
        <f t="shared" ca="1" si="6"/>
        <v>INSERT INTO tableRegionAnimalTest VALUES (' 2019-01-07 ',' 14:00 ', 'Kucing', '700.412752581352', '97.4404427986858', '1.5513639363622');</v>
      </c>
    </row>
    <row r="161" spans="1:7" x14ac:dyDescent="0.25">
      <c r="A161" s="1">
        <v>43472</v>
      </c>
      <c r="B161" s="2">
        <v>0.624999999999999</v>
      </c>
      <c r="C161" t="s">
        <v>6</v>
      </c>
      <c r="D161">
        <v>694.19614279479947</v>
      </c>
      <c r="E161">
        <f t="shared" ca="1" si="7"/>
        <v>98.360203570385949</v>
      </c>
      <c r="F161">
        <f t="shared" ca="1" si="8"/>
        <v>2.5205157035447745</v>
      </c>
      <c r="G161" s="1" t="str">
        <f t="shared" ca="1" si="6"/>
        <v>INSERT INTO tableRegionAnimalTest VALUES (' 2019-01-07 ',' 15:00 ', 'Kucing', '694.196142794799', '98.3602035703859', '2.52051570354477');</v>
      </c>
    </row>
    <row r="162" spans="1:7" x14ac:dyDescent="0.25">
      <c r="A162" s="1">
        <v>43472</v>
      </c>
      <c r="B162" s="2">
        <v>0.66666666666666596</v>
      </c>
      <c r="C162" t="s">
        <v>6</v>
      </c>
      <c r="D162">
        <v>733.30817356102375</v>
      </c>
      <c r="E162">
        <f t="shared" ca="1" si="7"/>
        <v>97.965300970056106</v>
      </c>
      <c r="F162">
        <f t="shared" ca="1" si="8"/>
        <v>3.2766556740481594</v>
      </c>
      <c r="G162" s="1" t="str">
        <f t="shared" ca="1" si="6"/>
        <v>INSERT INTO tableRegionAnimalTest VALUES (' 2019-01-07 ',' 16:00 ', 'Kucing', '733.308173561024', '97.9653009700561', '3.27665567404816');</v>
      </c>
    </row>
    <row r="163" spans="1:7" x14ac:dyDescent="0.25">
      <c r="A163" s="1">
        <v>43472</v>
      </c>
      <c r="B163" s="2">
        <v>0.70833333333333304</v>
      </c>
      <c r="C163" t="s">
        <v>6</v>
      </c>
      <c r="D163">
        <v>712.94827682164714</v>
      </c>
      <c r="E163">
        <f t="shared" ca="1" si="7"/>
        <v>97.966065303739896</v>
      </c>
      <c r="F163">
        <f t="shared" ca="1" si="8"/>
        <v>3.4902752103964567</v>
      </c>
      <c r="G163" s="1" t="str">
        <f t="shared" ca="1" si="6"/>
        <v>INSERT INTO tableRegionAnimalTest VALUES (' 2019-01-07 ',' 17:00 ', 'Kucing', '712.948276821647', '97.9660653037399', '3.49027521039646');</v>
      </c>
    </row>
    <row r="164" spans="1:7" x14ac:dyDescent="0.25">
      <c r="A164" s="1">
        <v>43472</v>
      </c>
      <c r="B164" s="2">
        <v>0.749999999999999</v>
      </c>
      <c r="C164" t="s">
        <v>6</v>
      </c>
      <c r="D164">
        <v>714.13676517457156</v>
      </c>
      <c r="E164">
        <f t="shared" ca="1" si="7"/>
        <v>97.139034668694563</v>
      </c>
      <c r="F164">
        <f t="shared" ca="1" si="8"/>
        <v>4.4437323485204674</v>
      </c>
      <c r="G164" s="1" t="str">
        <f t="shared" ca="1" si="6"/>
        <v>INSERT INTO tableRegionAnimalTest VALUES (' 2019-01-07 ',' 18:00 ', 'Kucing', '714.136765174572', '97.1390346686946', '4.44373234852047');</v>
      </c>
    </row>
    <row r="165" spans="1:7" x14ac:dyDescent="0.25">
      <c r="A165" s="1">
        <v>43472</v>
      </c>
      <c r="B165" s="2">
        <v>0.79166666666666596</v>
      </c>
      <c r="C165" t="s">
        <v>6</v>
      </c>
      <c r="D165">
        <v>707.84029715022029</v>
      </c>
      <c r="E165">
        <f t="shared" ca="1" si="7"/>
        <v>96.216990053437044</v>
      </c>
      <c r="F165">
        <f t="shared" ca="1" si="8"/>
        <v>4.6917511362078965</v>
      </c>
      <c r="G165" s="1" t="str">
        <f t="shared" ca="1" si="6"/>
        <v>INSERT INTO tableRegionAnimalTest VALUES (' 2019-01-07 ',' 19:00 ', 'Kucing', '707.84029715022', '96.216990053437', '4.6917511362079');</v>
      </c>
    </row>
    <row r="166" spans="1:7" x14ac:dyDescent="0.25">
      <c r="A166" s="1">
        <v>43472</v>
      </c>
      <c r="B166" s="2">
        <v>0.83333333333333304</v>
      </c>
      <c r="C166" t="s">
        <v>6</v>
      </c>
      <c r="D166">
        <v>648.95360796159423</v>
      </c>
      <c r="E166">
        <f t="shared" ca="1" si="7"/>
        <v>96.126806173125189</v>
      </c>
      <c r="F166">
        <f t="shared" ca="1" si="8"/>
        <v>4.9017291453648273</v>
      </c>
      <c r="G166" s="1" t="str">
        <f t="shared" ca="1" si="6"/>
        <v>INSERT INTO tableRegionAnimalTest VALUES (' 2019-01-07 ',' 20:00 ', 'Kucing', '648.953607961594', '96.1268061731252', '4.90172914536483');</v>
      </c>
    </row>
    <row r="167" spans="1:7" x14ac:dyDescent="0.25">
      <c r="A167" s="1">
        <v>43472</v>
      </c>
      <c r="B167" s="2">
        <v>0.875</v>
      </c>
      <c r="C167" t="s">
        <v>6</v>
      </c>
      <c r="D167">
        <v>644.94536230031758</v>
      </c>
      <c r="E167">
        <f t="shared" ca="1" si="7"/>
        <v>95.191213489050043</v>
      </c>
      <c r="F167">
        <f t="shared" ca="1" si="8"/>
        <v>5.0238380690185283</v>
      </c>
      <c r="G167" s="1" t="str">
        <f t="shared" ca="1" si="6"/>
        <v>INSERT INTO tableRegionAnimalTest VALUES (' 2019-01-07 ',' 21:00 ', 'Kucing', '644.945362300318', '95.19121348905', '5.02383806901853');</v>
      </c>
    </row>
    <row r="168" spans="1:7" x14ac:dyDescent="0.25">
      <c r="A168" s="1">
        <v>43472</v>
      </c>
      <c r="B168" s="2">
        <v>0.91666666666666663</v>
      </c>
      <c r="C168" t="s">
        <v>6</v>
      </c>
      <c r="D168">
        <v>591.64638895000439</v>
      </c>
      <c r="E168">
        <f t="shared" ca="1" si="7"/>
        <v>94.197188204010814</v>
      </c>
      <c r="F168">
        <f t="shared" ca="1" si="8"/>
        <v>4.2019448899028395</v>
      </c>
      <c r="G168" s="1" t="str">
        <f t="shared" ca="1" si="6"/>
        <v>INSERT INTO tableRegionAnimalTest VALUES (' 2019-01-07 ',' 22:00 ', 'Kucing', '591.646388950004', '94.1971882040108', '4.20194488990284');</v>
      </c>
    </row>
    <row r="169" spans="1:7" x14ac:dyDescent="0.25">
      <c r="A169" s="1">
        <v>43472</v>
      </c>
      <c r="B169" s="2">
        <v>0.95833333333333337</v>
      </c>
      <c r="C169" t="s">
        <v>6</v>
      </c>
      <c r="D169">
        <v>541.40871277145379</v>
      </c>
      <c r="E169">
        <f t="shared" ca="1" si="7"/>
        <v>94.814329224524727</v>
      </c>
      <c r="F169">
        <f t="shared" ca="1" si="8"/>
        <v>4.3536540006162632</v>
      </c>
      <c r="G169" s="1" t="str">
        <f t="shared" ca="1" si="6"/>
        <v>INSERT INTO tableRegionAnimalTest VALUES (' 2019-01-07 ',' 23:00 ', 'Kucing', '541.408712771454', '94.8143292245247', '4.35365400061626');</v>
      </c>
    </row>
    <row r="170" spans="1:7" x14ac:dyDescent="0.25">
      <c r="A170" s="1">
        <v>43466</v>
      </c>
      <c r="B170" s="2">
        <v>0</v>
      </c>
      <c r="C170" t="s">
        <v>7</v>
      </c>
      <c r="D170">
        <v>561.76573797510832</v>
      </c>
      <c r="E170">
        <f t="shared" ca="1" si="7"/>
        <v>94.839080885366243</v>
      </c>
      <c r="F170">
        <f t="shared" ca="1" si="8"/>
        <v>4.1058859203001683</v>
      </c>
      <c r="G170" s="1" t="str">
        <f t="shared" ca="1" si="6"/>
        <v>INSERT INTO tableRegionAnimalTest VALUES (' 2019-01-01 ',' 00:00 ', 'Macan', '561.765737975108', '94.8390808853662', '4.10588592030017');</v>
      </c>
    </row>
    <row r="171" spans="1:7" x14ac:dyDescent="0.25">
      <c r="A171" s="1">
        <v>43466</v>
      </c>
      <c r="B171" s="2">
        <v>4.1666666666665401E-2</v>
      </c>
      <c r="C171" t="s">
        <v>7</v>
      </c>
      <c r="D171">
        <v>510.22406544515439</v>
      </c>
      <c r="E171">
        <f t="shared" ca="1" si="7"/>
        <v>94.282390361139932</v>
      </c>
      <c r="F171">
        <f t="shared" ca="1" si="8"/>
        <v>3.7613511056778925</v>
      </c>
      <c r="G171" s="1" t="str">
        <f t="shared" ca="1" si="6"/>
        <v>INSERT INTO tableRegionAnimalTest VALUES (' 2019-01-01 ',' 01:00 ', 'Macan', '510.224065445154', '94.2823903611399', '3.76135110567789');</v>
      </c>
    </row>
    <row r="172" spans="1:7" x14ac:dyDescent="0.25">
      <c r="A172" s="1">
        <v>43466</v>
      </c>
      <c r="B172" s="2">
        <v>8.33333333333314E-2</v>
      </c>
      <c r="C172" t="s">
        <v>7</v>
      </c>
      <c r="D172">
        <v>503.07613540813281</v>
      </c>
      <c r="E172">
        <f t="shared" ca="1" si="7"/>
        <v>95.018145807015387</v>
      </c>
      <c r="F172">
        <f t="shared" ca="1" si="8"/>
        <v>2.7630904730655361</v>
      </c>
      <c r="G172" s="1" t="str">
        <f t="shared" ca="1" si="6"/>
        <v>INSERT INTO tableRegionAnimalTest VALUES (' 2019-01-01 ',' 02:00 ', 'Macan', '503.076135408133', '95.0181458070154', '2.76309047306554');</v>
      </c>
    </row>
    <row r="173" spans="1:7" x14ac:dyDescent="0.25">
      <c r="A173" s="1">
        <v>43466</v>
      </c>
      <c r="B173" s="2">
        <v>0.124999999999998</v>
      </c>
      <c r="C173" t="s">
        <v>7</v>
      </c>
      <c r="D173">
        <v>452.73744831899592</v>
      </c>
      <c r="E173">
        <f t="shared" ca="1" si="7"/>
        <v>94.4340484539008</v>
      </c>
      <c r="F173">
        <f t="shared" ca="1" si="8"/>
        <v>2.6408673447431941</v>
      </c>
      <c r="G173" s="1" t="str">
        <f t="shared" ca="1" si="6"/>
        <v>INSERT INTO tableRegionAnimalTest VALUES (' 2019-01-01 ',' 03:00 ', 'Macan', '452.737448318996', '94.4340484539008', '2.64086734474319');</v>
      </c>
    </row>
    <row r="174" spans="1:7" x14ac:dyDescent="0.25">
      <c r="A174" s="1">
        <v>43466</v>
      </c>
      <c r="B174" s="2">
        <v>0.16666666666666499</v>
      </c>
      <c r="C174" t="s">
        <v>7</v>
      </c>
      <c r="D174">
        <v>448.39175757593279</v>
      </c>
      <c r="E174">
        <f t="shared" ca="1" si="7"/>
        <v>94.578795879820447</v>
      </c>
      <c r="F174">
        <f t="shared" ca="1" si="8"/>
        <v>2.9565553965261735</v>
      </c>
      <c r="G174" s="1" t="str">
        <f t="shared" ca="1" si="6"/>
        <v>INSERT INTO tableRegionAnimalTest VALUES (' 2019-01-01 ',' 04:00 ', 'Macan', '448.391757575933', '94.5787958798204', '2.95655539652617');</v>
      </c>
    </row>
    <row r="175" spans="1:7" x14ac:dyDescent="0.25">
      <c r="A175" s="1">
        <v>43466</v>
      </c>
      <c r="B175" s="2">
        <v>0.20833333333333201</v>
      </c>
      <c r="C175" t="s">
        <v>7</v>
      </c>
      <c r="D175">
        <v>437.2644952805706</v>
      </c>
      <c r="E175">
        <f t="shared" ca="1" si="7"/>
        <v>94.673345379670323</v>
      </c>
      <c r="F175">
        <f t="shared" ca="1" si="8"/>
        <v>2.2202952236123563</v>
      </c>
      <c r="G175" s="1" t="str">
        <f t="shared" ca="1" si="6"/>
        <v>INSERT INTO tableRegionAnimalTest VALUES (' 2019-01-01 ',' 05:00 ', 'Macan', '437.264495280571', '94.6733453796703', '2.22029522361236');</v>
      </c>
    </row>
    <row r="176" spans="1:7" x14ac:dyDescent="0.25">
      <c r="A176" s="1">
        <v>43466</v>
      </c>
      <c r="B176" s="2">
        <v>0.249999999999998</v>
      </c>
      <c r="C176" t="s">
        <v>7</v>
      </c>
      <c r="D176">
        <v>420.97523231109665</v>
      </c>
      <c r="E176">
        <f t="shared" ca="1" si="7"/>
        <v>94.336006257937271</v>
      </c>
      <c r="F176">
        <f t="shared" ca="1" si="8"/>
        <v>3.115862896864507</v>
      </c>
      <c r="G176" s="1" t="str">
        <f t="shared" ca="1" si="6"/>
        <v>INSERT INTO tableRegionAnimalTest VALUES (' 2019-01-01 ',' 06:00 ', 'Macan', '420.975232311097', '94.3360062579373', '3.11586289686451');</v>
      </c>
    </row>
    <row r="177" spans="1:7" x14ac:dyDescent="0.25">
      <c r="A177" s="1">
        <v>43466</v>
      </c>
      <c r="B177" s="2">
        <v>0.29166666666666502</v>
      </c>
      <c r="C177" t="s">
        <v>7</v>
      </c>
      <c r="D177">
        <v>443.40652335681807</v>
      </c>
      <c r="E177">
        <f t="shared" ca="1" si="7"/>
        <v>94.410411660004542</v>
      </c>
      <c r="F177">
        <f t="shared" ca="1" si="8"/>
        <v>3.2950418437398734</v>
      </c>
      <c r="G177" s="1" t="str">
        <f t="shared" ca="1" si="6"/>
        <v>INSERT INTO tableRegionAnimalTest VALUES (' 2019-01-01 ',' 07:00 ', 'Macan', '443.406523356818', '94.4104116600045', '3.29504184373987');</v>
      </c>
    </row>
    <row r="178" spans="1:7" x14ac:dyDescent="0.25">
      <c r="A178" s="1">
        <v>43466</v>
      </c>
      <c r="B178" s="2">
        <v>0.33333333333333198</v>
      </c>
      <c r="C178" t="s">
        <v>7</v>
      </c>
      <c r="D178">
        <v>484.86513324219408</v>
      </c>
      <c r="E178">
        <f t="shared" ca="1" si="7"/>
        <v>94.360661485725601</v>
      </c>
      <c r="F178">
        <f t="shared" ca="1" si="8"/>
        <v>3.631115089349318</v>
      </c>
      <c r="G178" s="1" t="str">
        <f t="shared" ca="1" si="6"/>
        <v>INSERT INTO tableRegionAnimalTest VALUES (' 2019-01-01 ',' 08:00 ', 'Macan', '484.865133242194', '94.3606614857256', '3.63111508934932');</v>
      </c>
    </row>
    <row r="179" spans="1:7" x14ac:dyDescent="0.25">
      <c r="A179" s="1">
        <v>43466</v>
      </c>
      <c r="B179" s="2">
        <v>0.374999999999999</v>
      </c>
      <c r="C179" t="s">
        <v>7</v>
      </c>
      <c r="D179">
        <v>505.79744655321457</v>
      </c>
      <c r="E179">
        <f t="shared" ca="1" si="7"/>
        <v>94.973775833399984</v>
      </c>
      <c r="F179">
        <f t="shared" ca="1" si="8"/>
        <v>3.496731501865455</v>
      </c>
      <c r="G179" s="1" t="str">
        <f t="shared" ca="1" si="6"/>
        <v>INSERT INTO tableRegionAnimalTest VALUES (' 2019-01-01 ',' 09:00 ', 'Macan', '505.797446553215', '94.9737758334', '3.49673150186546');</v>
      </c>
    </row>
    <row r="180" spans="1:7" x14ac:dyDescent="0.25">
      <c r="A180" s="1">
        <v>43466</v>
      </c>
      <c r="B180" s="2">
        <v>0.41666666666666502</v>
      </c>
      <c r="C180" t="s">
        <v>7</v>
      </c>
      <c r="D180">
        <v>580.2442085757707</v>
      </c>
      <c r="E180">
        <f t="shared" ca="1" si="7"/>
        <v>94.879525385154039</v>
      </c>
      <c r="F180">
        <f t="shared" ca="1" si="8"/>
        <v>3.0420059385918163</v>
      </c>
      <c r="G180" s="1" t="str">
        <f t="shared" ca="1" si="6"/>
        <v>INSERT INTO tableRegionAnimalTest VALUES (' 2019-01-01 ',' 10:00 ', 'Macan', '580.244208575771', '94.879525385154', '3.04200593859182');</v>
      </c>
    </row>
    <row r="181" spans="1:7" x14ac:dyDescent="0.25">
      <c r="A181" s="1">
        <v>43466</v>
      </c>
      <c r="B181" s="2">
        <v>0.45833333333333198</v>
      </c>
      <c r="C181" t="s">
        <v>7</v>
      </c>
      <c r="D181">
        <v>662.26888933256487</v>
      </c>
      <c r="E181">
        <f t="shared" ca="1" si="7"/>
        <v>95.170654888307183</v>
      </c>
      <c r="F181">
        <f t="shared" ca="1" si="8"/>
        <v>2.558273370334641</v>
      </c>
      <c r="G181" s="1" t="str">
        <f t="shared" ca="1" si="6"/>
        <v>INSERT INTO tableRegionAnimalTest VALUES (' 2019-01-01 ',' 11:00 ', 'Macan', '662.268889332565', '95.1706548883072', '2.55827337033464');</v>
      </c>
    </row>
    <row r="182" spans="1:7" x14ac:dyDescent="0.25">
      <c r="A182" s="1">
        <v>43466</v>
      </c>
      <c r="B182" s="2">
        <v>0.499999999999999</v>
      </c>
      <c r="C182" t="s">
        <v>7</v>
      </c>
      <c r="D182">
        <v>674.06133869762289</v>
      </c>
      <c r="E182">
        <f t="shared" ca="1" si="7"/>
        <v>94.323783173248586</v>
      </c>
      <c r="F182">
        <f t="shared" ca="1" si="8"/>
        <v>3.5428048982392122</v>
      </c>
      <c r="G182" s="1" t="str">
        <f t="shared" ca="1" si="6"/>
        <v>INSERT INTO tableRegionAnimalTest VALUES (' 2019-01-01 ',' 12:00 ', 'Macan', '674.061338697623', '94.3237831732486', '3.54280489823921');</v>
      </c>
    </row>
    <row r="183" spans="1:7" x14ac:dyDescent="0.25">
      <c r="A183" s="1">
        <v>43466</v>
      </c>
      <c r="B183" s="2">
        <v>0.54166666666666596</v>
      </c>
      <c r="C183" t="s">
        <v>7</v>
      </c>
      <c r="D183">
        <v>757.28996392016199</v>
      </c>
      <c r="E183">
        <f t="shared" ca="1" si="7"/>
        <v>94.367054017125184</v>
      </c>
      <c r="F183">
        <f t="shared" ca="1" si="8"/>
        <v>3.2521721918048545</v>
      </c>
      <c r="G183" s="1" t="str">
        <f t="shared" ca="1" si="6"/>
        <v>INSERT INTO tableRegionAnimalTest VALUES (' 2019-01-01 ',' 13:00 ', 'Macan', '757.289963920162', '94.3670540171252', '3.25217219180485');</v>
      </c>
    </row>
    <row r="184" spans="1:7" x14ac:dyDescent="0.25">
      <c r="A184" s="1">
        <v>43466</v>
      </c>
      <c r="B184" s="2">
        <v>0.58333333333333204</v>
      </c>
      <c r="C184" t="s">
        <v>7</v>
      </c>
      <c r="D184">
        <v>754.76583610023272</v>
      </c>
      <c r="E184">
        <f t="shared" ca="1" si="7"/>
        <v>94.391419157956349</v>
      </c>
      <c r="F184">
        <f t="shared" ca="1" si="8"/>
        <v>3.7947671183880942</v>
      </c>
      <c r="G184" s="1" t="str">
        <f t="shared" ca="1" si="6"/>
        <v>INSERT INTO tableRegionAnimalTest VALUES (' 2019-01-01 ',' 14:00 ', 'Macan', '754.765836100233', '94.3914191579563', '3.79476711838809');</v>
      </c>
    </row>
    <row r="185" spans="1:7" x14ac:dyDescent="0.25">
      <c r="A185" s="1">
        <v>43466</v>
      </c>
      <c r="B185" s="2">
        <v>0.624999999999999</v>
      </c>
      <c r="C185" t="s">
        <v>7</v>
      </c>
      <c r="D185">
        <v>788.44546754766714</v>
      </c>
      <c r="E185">
        <f t="shared" ca="1" si="7"/>
        <v>95.361919145577261</v>
      </c>
      <c r="F185">
        <f t="shared" ca="1" si="8"/>
        <v>3.5224515663287548</v>
      </c>
      <c r="G185" s="1" t="str">
        <f t="shared" ca="1" si="6"/>
        <v>INSERT INTO tableRegionAnimalTest VALUES (' 2019-01-01 ',' 15:00 ', 'Macan', '788.445467547667', '95.3619191455773', '3.52245156632875');</v>
      </c>
    </row>
    <row r="186" spans="1:7" x14ac:dyDescent="0.25">
      <c r="A186" s="1">
        <v>43466</v>
      </c>
      <c r="B186" s="2">
        <v>0.66666666666666596</v>
      </c>
      <c r="C186" t="s">
        <v>7</v>
      </c>
      <c r="D186">
        <v>798.78703146698001</v>
      </c>
      <c r="E186">
        <f t="shared" ca="1" si="7"/>
        <v>95.865119142410407</v>
      </c>
      <c r="F186">
        <f t="shared" ca="1" si="8"/>
        <v>3.6962435513261878</v>
      </c>
      <c r="G186" s="1" t="str">
        <f t="shared" ca="1" si="6"/>
        <v>INSERT INTO tableRegionAnimalTest VALUES (' 2019-01-01 ',' 16:00 ', 'Macan', '798.78703146698', '95.8651191424104', '3.69624355132619');</v>
      </c>
    </row>
    <row r="187" spans="1:7" x14ac:dyDescent="0.25">
      <c r="A187" s="1">
        <v>43466</v>
      </c>
      <c r="B187" s="2">
        <v>0.70833333333333304</v>
      </c>
      <c r="C187" t="s">
        <v>7</v>
      </c>
      <c r="D187">
        <v>853.98242311770366</v>
      </c>
      <c r="E187">
        <f t="shared" ca="1" si="7"/>
        <v>95.926378931497396</v>
      </c>
      <c r="F187">
        <f t="shared" ca="1" si="8"/>
        <v>4.195541838728186</v>
      </c>
      <c r="G187" s="1" t="str">
        <f t="shared" ca="1" si="6"/>
        <v>INSERT INTO tableRegionAnimalTest VALUES (' 2019-01-01 ',' 17:00 ', 'Macan', '853.982423117704', '95.9263789314974', '4.19554183872819');</v>
      </c>
    </row>
    <row r="188" spans="1:7" x14ac:dyDescent="0.25">
      <c r="A188" s="1">
        <v>43466</v>
      </c>
      <c r="B188" s="2">
        <v>0.749999999999999</v>
      </c>
      <c r="C188" t="s">
        <v>7</v>
      </c>
      <c r="D188">
        <v>828.57723054529458</v>
      </c>
      <c r="E188">
        <f t="shared" ca="1" si="7"/>
        <v>96.283970464734722</v>
      </c>
      <c r="F188">
        <f t="shared" ca="1" si="8"/>
        <v>4.3009629217299077</v>
      </c>
      <c r="G188" s="1" t="str">
        <f t="shared" ca="1" si="6"/>
        <v>INSERT INTO tableRegionAnimalTest VALUES (' 2019-01-01 ',' 18:00 ', 'Macan', '828.577230545295', '96.2839704647347', '4.30096292172991');</v>
      </c>
    </row>
    <row r="189" spans="1:7" x14ac:dyDescent="0.25">
      <c r="A189" s="1">
        <v>43466</v>
      </c>
      <c r="B189" s="2">
        <v>0.79166666666666596</v>
      </c>
      <c r="C189" t="s">
        <v>7</v>
      </c>
      <c r="D189">
        <v>795.84158014194679</v>
      </c>
      <c r="E189">
        <f t="shared" ca="1" si="7"/>
        <v>96.26959436975396</v>
      </c>
      <c r="F189">
        <f t="shared" ca="1" si="8"/>
        <v>4.1550029262916679</v>
      </c>
      <c r="G189" s="1" t="str">
        <f t="shared" ca="1" si="6"/>
        <v>INSERT INTO tableRegionAnimalTest VALUES (' 2019-01-01 ',' 19:00 ', 'Macan', '795.841580141947', '96.269594369754', '4.15500292629167');</v>
      </c>
    </row>
    <row r="190" spans="1:7" x14ac:dyDescent="0.25">
      <c r="A190" s="1">
        <v>43466</v>
      </c>
      <c r="B190" s="2">
        <v>0.83333333333333304</v>
      </c>
      <c r="C190" t="s">
        <v>7</v>
      </c>
      <c r="D190">
        <v>780.74477756262831</v>
      </c>
      <c r="E190">
        <f t="shared" ca="1" si="7"/>
        <v>95.347330359111908</v>
      </c>
      <c r="F190">
        <f t="shared" ca="1" si="8"/>
        <v>4.7306335051230448</v>
      </c>
      <c r="G190" s="1" t="str">
        <f t="shared" ca="1" si="6"/>
        <v>INSERT INTO tableRegionAnimalTest VALUES (' 2019-01-01 ',' 20:00 ', 'Macan', '780.744777562628', '95.3473303591119', '4.73063350512304');</v>
      </c>
    </row>
    <row r="191" spans="1:7" x14ac:dyDescent="0.25">
      <c r="A191" s="1">
        <v>43466</v>
      </c>
      <c r="B191" s="2">
        <v>0.875</v>
      </c>
      <c r="C191" t="s">
        <v>7</v>
      </c>
      <c r="D191">
        <v>733.7417618103832</v>
      </c>
      <c r="E191">
        <f t="shared" ca="1" si="7"/>
        <v>96.036185679064715</v>
      </c>
      <c r="F191">
        <f t="shared" ca="1" si="8"/>
        <v>5.2015238153475067</v>
      </c>
      <c r="G191" s="1" t="str">
        <f t="shared" ca="1" si="6"/>
        <v>INSERT INTO tableRegionAnimalTest VALUES (' 2019-01-01 ',' 21:00 ', 'Macan', '733.741761810383', '96.0361856790647', '5.20152381534751');</v>
      </c>
    </row>
    <row r="192" spans="1:7" x14ac:dyDescent="0.25">
      <c r="A192" s="1">
        <v>43466</v>
      </c>
      <c r="B192" s="2">
        <v>0.91666666666666663</v>
      </c>
      <c r="C192" t="s">
        <v>7</v>
      </c>
      <c r="D192">
        <v>694.6222330207878</v>
      </c>
      <c r="E192">
        <f t="shared" ca="1" si="7"/>
        <v>95.677199771563409</v>
      </c>
      <c r="F192">
        <f t="shared" ca="1" si="8"/>
        <v>5.1100810174224076</v>
      </c>
      <c r="G192" s="1" t="str">
        <f t="shared" ca="1" si="6"/>
        <v>INSERT INTO tableRegionAnimalTest VALUES (' 2019-01-01 ',' 22:00 ', 'Macan', '694.622233020788', '95.6771997715634', '5.11008101742241');</v>
      </c>
    </row>
    <row r="193" spans="1:7" x14ac:dyDescent="0.25">
      <c r="A193" s="1">
        <v>43466</v>
      </c>
      <c r="B193" s="2">
        <v>0.95833333333333337</v>
      </c>
      <c r="C193" t="s">
        <v>7</v>
      </c>
      <c r="D193">
        <v>611.75772708515842</v>
      </c>
      <c r="E193">
        <f t="shared" ca="1" si="7"/>
        <v>95.893478451251056</v>
      </c>
      <c r="F193">
        <f t="shared" ca="1" si="8"/>
        <v>4.27258450925369</v>
      </c>
      <c r="G193" s="1" t="str">
        <f t="shared" ca="1" si="6"/>
        <v>INSERT INTO tableRegionAnimalTest VALUES (' 2019-01-01 ',' 23:00 ', 'Macan', '611.757727085158', '95.8934784512511', '4.27258450925369');</v>
      </c>
    </row>
    <row r="194" spans="1:7" x14ac:dyDescent="0.25">
      <c r="A194" s="1">
        <v>43467</v>
      </c>
      <c r="B194" s="2">
        <v>0</v>
      </c>
      <c r="C194" t="s">
        <v>7</v>
      </c>
      <c r="D194">
        <v>573.66052430081845</v>
      </c>
      <c r="E194">
        <f t="shared" ca="1" si="7"/>
        <v>95.586919541099334</v>
      </c>
      <c r="F194">
        <f t="shared" ca="1" si="8"/>
        <v>4.1611047817217734</v>
      </c>
      <c r="G194" s="1" t="str">
        <f t="shared" ca="1" si="6"/>
        <v>INSERT INTO tableRegionAnimalTest VALUES (' 2019-01-02 ',' 00:00 ', 'Macan', '573.660524300818', '95.5869195410993', '4.16110478172177');</v>
      </c>
    </row>
    <row r="195" spans="1:7" x14ac:dyDescent="0.25">
      <c r="A195" s="1">
        <v>43467</v>
      </c>
      <c r="B195" s="2">
        <v>4.1666666666665401E-2</v>
      </c>
      <c r="C195" t="s">
        <v>7</v>
      </c>
      <c r="D195">
        <v>495.70149752662803</v>
      </c>
      <c r="E195">
        <f t="shared" ca="1" si="7"/>
        <v>95.664910799963394</v>
      </c>
      <c r="F195">
        <f t="shared" ca="1" si="8"/>
        <v>3.7599008947436903</v>
      </c>
      <c r="G195" s="1" t="str">
        <f t="shared" ref="G195:G258" ca="1" si="9">"INSERT INTO tableRegionAnimalTest VALUES (' "&amp;TEXT(A195,"yyyy-mm-dd")&amp;" ',' "&amp;TEXT(B195,"hh:mm")&amp;" ', '"&amp;C195&amp;"', '"&amp;D195&amp;"', '"&amp;E195&amp;"', '"&amp;F195&amp;"');"</f>
        <v>INSERT INTO tableRegionAnimalTest VALUES (' 2019-01-02 ',' 01:00 ', 'Macan', '495.701497526628', '95.6649107999634', '3.75990089474369');</v>
      </c>
    </row>
    <row r="196" spans="1:7" x14ac:dyDescent="0.25">
      <c r="A196" s="1">
        <v>43467</v>
      </c>
      <c r="B196" s="2">
        <v>8.33333333333314E-2</v>
      </c>
      <c r="C196" t="s">
        <v>7</v>
      </c>
      <c r="D196">
        <v>521.3156997477912</v>
      </c>
      <c r="E196">
        <f t="shared" ref="E196:E259" ca="1" si="10">IF(E195&gt;=99, -(RAND()*1)+E195, IF(E195&lt;=81, (RAND()*1) +E195, (RAND()*1)* (RANDBETWEEN(0,1)*2-1) +E195))</f>
        <v>95.313924379293439</v>
      </c>
      <c r="F196">
        <f t="shared" ref="F196:F259" ca="1" si="11">IF(F195&gt;=5, -(RAND()*1)+F195, IF(F195&lt;=1, (RAND()*1) +F195, (RAND()*1)* (RANDBETWEEN(0,1)*2-1) +F195))</f>
        <v>4.6376875413037286</v>
      </c>
      <c r="G196" s="1" t="str">
        <f t="shared" ca="1" si="9"/>
        <v>INSERT INTO tableRegionAnimalTest VALUES (' 2019-01-02 ',' 02:00 ', 'Macan', '521.315699747791', '95.3139243792934', '4.63768754130373');</v>
      </c>
    </row>
    <row r="197" spans="1:7" x14ac:dyDescent="0.25">
      <c r="A197" s="1">
        <v>43467</v>
      </c>
      <c r="B197" s="2">
        <v>0.124999999999998</v>
      </c>
      <c r="C197" t="s">
        <v>7</v>
      </c>
      <c r="D197">
        <v>433.14555939855597</v>
      </c>
      <c r="E197">
        <f t="shared" ca="1" si="10"/>
        <v>95.022513739627215</v>
      </c>
      <c r="F197">
        <f t="shared" ca="1" si="11"/>
        <v>4.9167715913823704</v>
      </c>
      <c r="G197" s="1" t="str">
        <f t="shared" ca="1" si="9"/>
        <v>INSERT INTO tableRegionAnimalTest VALUES (' 2019-01-02 ',' 03:00 ', 'Macan', '433.145559398556', '95.0225137396272', '4.91677159138237');</v>
      </c>
    </row>
    <row r="198" spans="1:7" x14ac:dyDescent="0.25">
      <c r="A198" s="1">
        <v>43467</v>
      </c>
      <c r="B198" s="2">
        <v>0.16666666666666499</v>
      </c>
      <c r="C198" t="s">
        <v>7</v>
      </c>
      <c r="D198">
        <v>431.68897273408976</v>
      </c>
      <c r="E198">
        <f t="shared" ca="1" si="10"/>
        <v>95.738883304700039</v>
      </c>
      <c r="F198">
        <f t="shared" ca="1" si="11"/>
        <v>5.4710208122380353</v>
      </c>
      <c r="G198" s="1" t="str">
        <f t="shared" ca="1" si="9"/>
        <v>INSERT INTO tableRegionAnimalTest VALUES (' 2019-01-02 ',' 04:00 ', 'Macan', '431.68897273409', '95.7388833047', '5.47102081223804');</v>
      </c>
    </row>
    <row r="199" spans="1:7" x14ac:dyDescent="0.25">
      <c r="A199" s="1">
        <v>43467</v>
      </c>
      <c r="B199" s="2">
        <v>0.20833333333333201</v>
      </c>
      <c r="C199" t="s">
        <v>7</v>
      </c>
      <c r="D199">
        <v>447.20048474608859</v>
      </c>
      <c r="E199">
        <f t="shared" ca="1" si="10"/>
        <v>96.574039405827477</v>
      </c>
      <c r="F199">
        <f t="shared" ca="1" si="11"/>
        <v>5.1437539676039252</v>
      </c>
      <c r="G199" s="1" t="str">
        <f t="shared" ca="1" si="9"/>
        <v>INSERT INTO tableRegionAnimalTest VALUES (' 2019-01-02 ',' 05:00 ', 'Macan', '447.200484746089', '96.5740394058275', '5.14375396760393');</v>
      </c>
    </row>
    <row r="200" spans="1:7" x14ac:dyDescent="0.25">
      <c r="A200" s="1">
        <v>43467</v>
      </c>
      <c r="B200" s="2">
        <v>0.249999999999998</v>
      </c>
      <c r="C200" t="s">
        <v>7</v>
      </c>
      <c r="D200">
        <v>426.48525928672694</v>
      </c>
      <c r="E200">
        <f t="shared" ca="1" si="10"/>
        <v>96.9047180524189</v>
      </c>
      <c r="F200">
        <f t="shared" ca="1" si="11"/>
        <v>4.247766271219235</v>
      </c>
      <c r="G200" s="1" t="str">
        <f t="shared" ca="1" si="9"/>
        <v>INSERT INTO tableRegionAnimalTest VALUES (' 2019-01-02 ',' 06:00 ', 'Macan', '426.485259286727', '96.9047180524189', '4.24776627121924');</v>
      </c>
    </row>
    <row r="201" spans="1:7" x14ac:dyDescent="0.25">
      <c r="A201" s="1">
        <v>43467</v>
      </c>
      <c r="B201" s="2">
        <v>0.29166666666666502</v>
      </c>
      <c r="C201" t="s">
        <v>7</v>
      </c>
      <c r="D201">
        <v>443.60908468561269</v>
      </c>
      <c r="E201">
        <f t="shared" ca="1" si="10"/>
        <v>97.346432972460846</v>
      </c>
      <c r="F201">
        <f t="shared" ca="1" si="11"/>
        <v>4.1775974194904313</v>
      </c>
      <c r="G201" s="1" t="str">
        <f t="shared" ca="1" si="9"/>
        <v>INSERT INTO tableRegionAnimalTest VALUES (' 2019-01-02 ',' 07:00 ', 'Macan', '443.609084685613', '97.3464329724608', '4.17759741949043');</v>
      </c>
    </row>
    <row r="202" spans="1:7" x14ac:dyDescent="0.25">
      <c r="A202" s="1">
        <v>43467</v>
      </c>
      <c r="B202" s="2">
        <v>0.33333333333333198</v>
      </c>
      <c r="C202" t="s">
        <v>7</v>
      </c>
      <c r="D202">
        <v>471.56019754358624</v>
      </c>
      <c r="E202">
        <f t="shared" ca="1" si="10"/>
        <v>98.057517896826297</v>
      </c>
      <c r="F202">
        <f t="shared" ca="1" si="11"/>
        <v>4.4007511397160224</v>
      </c>
      <c r="G202" s="1" t="str">
        <f t="shared" ca="1" si="9"/>
        <v>INSERT INTO tableRegionAnimalTest VALUES (' 2019-01-02 ',' 08:00 ', 'Macan', '471.560197543586', '98.0575178968263', '4.40075113971602');</v>
      </c>
    </row>
    <row r="203" spans="1:7" x14ac:dyDescent="0.25">
      <c r="A203" s="1">
        <v>43467</v>
      </c>
      <c r="B203" s="2">
        <v>0.374999999999999</v>
      </c>
      <c r="C203" t="s">
        <v>7</v>
      </c>
      <c r="D203">
        <v>498.38397694556988</v>
      </c>
      <c r="E203">
        <f t="shared" ca="1" si="10"/>
        <v>97.857495034181596</v>
      </c>
      <c r="F203">
        <f t="shared" ca="1" si="11"/>
        <v>4.2600842860369124</v>
      </c>
      <c r="G203" s="1" t="str">
        <f t="shared" ca="1" si="9"/>
        <v>INSERT INTO tableRegionAnimalTest VALUES (' 2019-01-02 ',' 09:00 ', 'Macan', '498.38397694557', '97.8574950341816', '4.26008428603691');</v>
      </c>
    </row>
    <row r="204" spans="1:7" x14ac:dyDescent="0.25">
      <c r="A204" s="1">
        <v>43467</v>
      </c>
      <c r="B204" s="2">
        <v>0.41666666666666502</v>
      </c>
      <c r="C204" t="s">
        <v>7</v>
      </c>
      <c r="D204">
        <v>587.82083279560516</v>
      </c>
      <c r="E204">
        <f t="shared" ca="1" si="10"/>
        <v>97.626335659128685</v>
      </c>
      <c r="F204">
        <f t="shared" ca="1" si="11"/>
        <v>3.515407888451954</v>
      </c>
      <c r="G204" s="1" t="str">
        <f t="shared" ca="1" si="9"/>
        <v>INSERT INTO tableRegionAnimalTest VALUES (' 2019-01-02 ',' 10:00 ', 'Macan', '587.820832795605', '97.6263356591287', '3.51540788845195');</v>
      </c>
    </row>
    <row r="205" spans="1:7" x14ac:dyDescent="0.25">
      <c r="A205" s="1">
        <v>43467</v>
      </c>
      <c r="B205" s="2">
        <v>0.45833333333333198</v>
      </c>
      <c r="C205" t="s">
        <v>7</v>
      </c>
      <c r="D205">
        <v>651.94407672387729</v>
      </c>
      <c r="E205">
        <f t="shared" ca="1" si="10"/>
        <v>98.20349981525176</v>
      </c>
      <c r="F205">
        <f t="shared" ca="1" si="11"/>
        <v>4.2208450407472302</v>
      </c>
      <c r="G205" s="1" t="str">
        <f t="shared" ca="1" si="9"/>
        <v>INSERT INTO tableRegionAnimalTest VALUES (' 2019-01-02 ',' 11:00 ', 'Macan', '651.944076723877', '98.2034998152518', '4.22084504074723');</v>
      </c>
    </row>
    <row r="206" spans="1:7" x14ac:dyDescent="0.25">
      <c r="A206" s="1">
        <v>43467</v>
      </c>
      <c r="B206" s="2">
        <v>0.499999999999999</v>
      </c>
      <c r="C206" t="s">
        <v>7</v>
      </c>
      <c r="D206">
        <v>662.47866159889361</v>
      </c>
      <c r="E206">
        <f t="shared" ca="1" si="10"/>
        <v>97.320748542968147</v>
      </c>
      <c r="F206">
        <f t="shared" ca="1" si="11"/>
        <v>3.3887210030922583</v>
      </c>
      <c r="G206" s="1" t="str">
        <f t="shared" ca="1" si="9"/>
        <v>INSERT INTO tableRegionAnimalTest VALUES (' 2019-01-02 ',' 12:00 ', 'Macan', '662.478661598894', '97.3207485429681', '3.38872100309226');</v>
      </c>
    </row>
    <row r="207" spans="1:7" x14ac:dyDescent="0.25">
      <c r="A207" s="1">
        <v>43467</v>
      </c>
      <c r="B207" s="2">
        <v>0.54166666666666596</v>
      </c>
      <c r="C207" t="s">
        <v>7</v>
      </c>
      <c r="D207">
        <v>711.69335181036524</v>
      </c>
      <c r="E207">
        <f t="shared" ca="1" si="10"/>
        <v>97.3710483909462</v>
      </c>
      <c r="F207">
        <f t="shared" ca="1" si="11"/>
        <v>4.3230111244798382</v>
      </c>
      <c r="G207" s="1" t="str">
        <f t="shared" ca="1" si="9"/>
        <v>INSERT INTO tableRegionAnimalTest VALUES (' 2019-01-02 ',' 13:00 ', 'Macan', '711.693351810365', '97.3710483909462', '4.32301112447984');</v>
      </c>
    </row>
    <row r="208" spans="1:7" x14ac:dyDescent="0.25">
      <c r="A208" s="1">
        <v>43467</v>
      </c>
      <c r="B208" s="2">
        <v>0.58333333333333204</v>
      </c>
      <c r="C208" t="s">
        <v>7</v>
      </c>
      <c r="D208">
        <v>795.84183864759871</v>
      </c>
      <c r="E208">
        <f t="shared" ca="1" si="10"/>
        <v>97.502634280901532</v>
      </c>
      <c r="F208">
        <f t="shared" ca="1" si="11"/>
        <v>3.4441704651910081</v>
      </c>
      <c r="G208" s="1" t="str">
        <f t="shared" ca="1" si="9"/>
        <v>INSERT INTO tableRegionAnimalTest VALUES (' 2019-01-02 ',' 14:00 ', 'Macan', '795.841838647599', '97.5026342809015', '3.44417046519101');</v>
      </c>
    </row>
    <row r="209" spans="1:7" x14ac:dyDescent="0.25">
      <c r="A209" s="1">
        <v>43467</v>
      </c>
      <c r="B209" s="2">
        <v>0.624999999999999</v>
      </c>
      <c r="C209" t="s">
        <v>7</v>
      </c>
      <c r="D209">
        <v>792.72738969303975</v>
      </c>
      <c r="E209">
        <f t="shared" ca="1" si="10"/>
        <v>98.06120504136365</v>
      </c>
      <c r="F209">
        <f t="shared" ca="1" si="11"/>
        <v>2.454715140696786</v>
      </c>
      <c r="G209" s="1" t="str">
        <f t="shared" ca="1" si="9"/>
        <v>INSERT INTO tableRegionAnimalTest VALUES (' 2019-01-02 ',' 15:00 ', 'Macan', '792.72738969304', '98.0612050413636', '2.45471514069679');</v>
      </c>
    </row>
    <row r="210" spans="1:7" x14ac:dyDescent="0.25">
      <c r="A210" s="1">
        <v>43467</v>
      </c>
      <c r="B210" s="2">
        <v>0.66666666666666596</v>
      </c>
      <c r="C210" t="s">
        <v>7</v>
      </c>
      <c r="D210">
        <v>844.4203394609691</v>
      </c>
      <c r="E210">
        <f t="shared" ca="1" si="10"/>
        <v>97.630445901660707</v>
      </c>
      <c r="F210">
        <f t="shared" ca="1" si="11"/>
        <v>2.869566217076998</v>
      </c>
      <c r="G210" s="1" t="str">
        <f t="shared" ca="1" si="9"/>
        <v>INSERT INTO tableRegionAnimalTest VALUES (' 2019-01-02 ',' 16:00 ', 'Macan', '844.420339460969', '97.6304459016607', '2.869566217077');</v>
      </c>
    </row>
    <row r="211" spans="1:7" x14ac:dyDescent="0.25">
      <c r="A211" s="1">
        <v>43467</v>
      </c>
      <c r="B211" s="2">
        <v>0.70833333333333304</v>
      </c>
      <c r="C211" t="s">
        <v>7</v>
      </c>
      <c r="D211">
        <v>847.59719084816129</v>
      </c>
      <c r="E211">
        <f t="shared" ca="1" si="10"/>
        <v>97.688397199534421</v>
      </c>
      <c r="F211">
        <f t="shared" ca="1" si="11"/>
        <v>3.2078518015903352</v>
      </c>
      <c r="G211" s="1" t="str">
        <f t="shared" ca="1" si="9"/>
        <v>INSERT INTO tableRegionAnimalTest VALUES (' 2019-01-02 ',' 17:00 ', 'Macan', '847.597190848161', '97.6883971995344', '3.20785180159034');</v>
      </c>
    </row>
    <row r="212" spans="1:7" x14ac:dyDescent="0.25">
      <c r="A212" s="1">
        <v>43467</v>
      </c>
      <c r="B212" s="2">
        <v>0.749999999999999</v>
      </c>
      <c r="C212" t="s">
        <v>7</v>
      </c>
      <c r="D212">
        <v>834.22354337240199</v>
      </c>
      <c r="E212">
        <f t="shared" ca="1" si="10"/>
        <v>97.471161051025845</v>
      </c>
      <c r="F212">
        <f t="shared" ca="1" si="11"/>
        <v>3.6150218263736726</v>
      </c>
      <c r="G212" s="1" t="str">
        <f t="shared" ca="1" si="9"/>
        <v>INSERT INTO tableRegionAnimalTest VALUES (' 2019-01-02 ',' 18:00 ', 'Macan', '834.223543372402', '97.4711610510258', '3.61502182637367');</v>
      </c>
    </row>
    <row r="213" spans="1:7" x14ac:dyDescent="0.25">
      <c r="A213" s="1">
        <v>43467</v>
      </c>
      <c r="B213" s="2">
        <v>0.79166666666666596</v>
      </c>
      <c r="C213" t="s">
        <v>7</v>
      </c>
      <c r="D213">
        <v>823.35735683552161</v>
      </c>
      <c r="E213">
        <f t="shared" ca="1" si="10"/>
        <v>97.76959272938295</v>
      </c>
      <c r="F213">
        <f t="shared" ca="1" si="11"/>
        <v>3.714384529794736</v>
      </c>
      <c r="G213" s="1" t="str">
        <f t="shared" ca="1" si="9"/>
        <v>INSERT INTO tableRegionAnimalTest VALUES (' 2019-01-02 ',' 19:00 ', 'Macan', '823.357356835522', '97.7695927293829', '3.71438452979474');</v>
      </c>
    </row>
    <row r="214" spans="1:7" x14ac:dyDescent="0.25">
      <c r="A214" s="1">
        <v>43467</v>
      </c>
      <c r="B214" s="2">
        <v>0.83333333333333304</v>
      </c>
      <c r="C214" t="s">
        <v>7</v>
      </c>
      <c r="D214">
        <v>757.92566281063228</v>
      </c>
      <c r="E214">
        <f t="shared" ca="1" si="10"/>
        <v>97.481557553617932</v>
      </c>
      <c r="F214">
        <f t="shared" ca="1" si="11"/>
        <v>4.2054754703535551</v>
      </c>
      <c r="G214" s="1" t="str">
        <f t="shared" ca="1" si="9"/>
        <v>INSERT INTO tableRegionAnimalTest VALUES (' 2019-01-02 ',' 20:00 ', 'Macan', '757.925662810632', '97.4815575536179', '4.20547547035356');</v>
      </c>
    </row>
    <row r="215" spans="1:7" x14ac:dyDescent="0.25">
      <c r="A215" s="1">
        <v>43467</v>
      </c>
      <c r="B215" s="2">
        <v>0.875</v>
      </c>
      <c r="C215" t="s">
        <v>7</v>
      </c>
      <c r="D215">
        <v>730.00050573430292</v>
      </c>
      <c r="E215">
        <f t="shared" ca="1" si="10"/>
        <v>97.14740051390865</v>
      </c>
      <c r="F215">
        <f t="shared" ca="1" si="11"/>
        <v>3.8241175857730028</v>
      </c>
      <c r="G215" s="1" t="str">
        <f t="shared" ca="1" si="9"/>
        <v>INSERT INTO tableRegionAnimalTest VALUES (' 2019-01-02 ',' 21:00 ', 'Macan', '730.000505734303', '97.1474005139087', '3.824117585773');</v>
      </c>
    </row>
    <row r="216" spans="1:7" x14ac:dyDescent="0.25">
      <c r="A216" s="1">
        <v>43467</v>
      </c>
      <c r="B216" s="2">
        <v>0.91666666666666663</v>
      </c>
      <c r="C216" t="s">
        <v>7</v>
      </c>
      <c r="D216">
        <v>661.9463509278296</v>
      </c>
      <c r="E216">
        <f t="shared" ca="1" si="10"/>
        <v>97.300995821494112</v>
      </c>
      <c r="F216">
        <f t="shared" ca="1" si="11"/>
        <v>2.8734617747747064</v>
      </c>
      <c r="G216" s="1" t="str">
        <f t="shared" ca="1" si="9"/>
        <v>INSERT INTO tableRegionAnimalTest VALUES (' 2019-01-02 ',' 22:00 ', 'Macan', '661.94635092783', '97.3009958214941', '2.87346177477471');</v>
      </c>
    </row>
    <row r="217" spans="1:7" x14ac:dyDescent="0.25">
      <c r="A217" s="1">
        <v>43467</v>
      </c>
      <c r="B217" s="2">
        <v>0.95833333333333337</v>
      </c>
      <c r="C217" t="s">
        <v>7</v>
      </c>
      <c r="D217">
        <v>644.88536133587309</v>
      </c>
      <c r="E217">
        <f t="shared" ca="1" si="10"/>
        <v>98.046781894523761</v>
      </c>
      <c r="F217">
        <f t="shared" ca="1" si="11"/>
        <v>2.4459196199189965</v>
      </c>
      <c r="G217" s="1" t="str">
        <f t="shared" ca="1" si="9"/>
        <v>INSERT INTO tableRegionAnimalTest VALUES (' 2019-01-02 ',' 23:00 ', 'Macan', '644.885361335873', '98.0467818945238', '2.445919619919');</v>
      </c>
    </row>
    <row r="218" spans="1:7" x14ac:dyDescent="0.25">
      <c r="A218" s="1">
        <v>43468</v>
      </c>
      <c r="B218" s="2">
        <v>0</v>
      </c>
      <c r="C218" t="s">
        <v>7</v>
      </c>
      <c r="D218">
        <v>556.42688242672079</v>
      </c>
      <c r="E218">
        <f t="shared" ca="1" si="10"/>
        <v>97.063596701859794</v>
      </c>
      <c r="F218">
        <f t="shared" ca="1" si="11"/>
        <v>2.4763756478017331</v>
      </c>
      <c r="G218" s="1" t="str">
        <f t="shared" ca="1" si="9"/>
        <v>INSERT INTO tableRegionAnimalTest VALUES (' 2019-01-03 ',' 00:00 ', 'Macan', '556.426882426721', '97.0635967018598', '2.47637564780173');</v>
      </c>
    </row>
    <row r="219" spans="1:7" x14ac:dyDescent="0.25">
      <c r="A219" s="1">
        <v>43468</v>
      </c>
      <c r="B219" s="2">
        <v>4.1666666666665401E-2</v>
      </c>
      <c r="C219" t="s">
        <v>7</v>
      </c>
      <c r="D219">
        <v>532.09514427963086</v>
      </c>
      <c r="E219">
        <f t="shared" ca="1" si="10"/>
        <v>96.496967787034848</v>
      </c>
      <c r="F219">
        <f t="shared" ca="1" si="11"/>
        <v>2.3134123397379978</v>
      </c>
      <c r="G219" s="1" t="str">
        <f t="shared" ca="1" si="9"/>
        <v>INSERT INTO tableRegionAnimalTest VALUES (' 2019-01-03 ',' 01:00 ', 'Macan', '532.095144279631', '96.4969677870348', '2.313412339738');</v>
      </c>
    </row>
    <row r="220" spans="1:7" x14ac:dyDescent="0.25">
      <c r="A220" s="1">
        <v>43468</v>
      </c>
      <c r="B220" s="2">
        <v>8.33333333333314E-2</v>
      </c>
      <c r="C220" t="s">
        <v>7</v>
      </c>
      <c r="D220">
        <v>470.01853912310673</v>
      </c>
      <c r="E220">
        <f t="shared" ca="1" si="10"/>
        <v>96.621137352000503</v>
      </c>
      <c r="F220">
        <f t="shared" ca="1" si="11"/>
        <v>3.0784617239382124</v>
      </c>
      <c r="G220" s="1" t="str">
        <f t="shared" ca="1" si="9"/>
        <v>INSERT INTO tableRegionAnimalTest VALUES (' 2019-01-03 ',' 02:00 ', 'Macan', '470.018539123107', '96.6211373520005', '3.07846172393821');</v>
      </c>
    </row>
    <row r="221" spans="1:7" x14ac:dyDescent="0.25">
      <c r="A221" s="1">
        <v>43468</v>
      </c>
      <c r="B221" s="2">
        <v>0.124999999999998</v>
      </c>
      <c r="C221" t="s">
        <v>7</v>
      </c>
      <c r="D221">
        <v>482.19860446225505</v>
      </c>
      <c r="E221">
        <f t="shared" ca="1" si="10"/>
        <v>95.80888945661691</v>
      </c>
      <c r="F221">
        <f t="shared" ca="1" si="11"/>
        <v>2.3702969602823671</v>
      </c>
      <c r="G221" s="1" t="str">
        <f t="shared" ca="1" si="9"/>
        <v>INSERT INTO tableRegionAnimalTest VALUES (' 2019-01-03 ',' 03:00 ', 'Macan', '482.198604462255', '95.8088894566169', '2.37029696028237');</v>
      </c>
    </row>
    <row r="222" spans="1:7" x14ac:dyDescent="0.25">
      <c r="A222" s="1">
        <v>43468</v>
      </c>
      <c r="B222" s="2">
        <v>0.16666666666666499</v>
      </c>
      <c r="C222" t="s">
        <v>7</v>
      </c>
      <c r="D222">
        <v>432.79086646693003</v>
      </c>
      <c r="E222">
        <f t="shared" ca="1" si="10"/>
        <v>95.861586086112993</v>
      </c>
      <c r="F222">
        <f t="shared" ca="1" si="11"/>
        <v>2.0425211936134424</v>
      </c>
      <c r="G222" s="1" t="str">
        <f t="shared" ca="1" si="9"/>
        <v>INSERT INTO tableRegionAnimalTest VALUES (' 2019-01-03 ',' 04:00 ', 'Macan', '432.79086646693', '95.861586086113', '2.04252119361344');</v>
      </c>
    </row>
    <row r="223" spans="1:7" x14ac:dyDescent="0.25">
      <c r="A223" s="1">
        <v>43468</v>
      </c>
      <c r="B223" s="2">
        <v>0.20833333333333201</v>
      </c>
      <c r="C223" t="s">
        <v>7</v>
      </c>
      <c r="D223">
        <v>437.96638219905708</v>
      </c>
      <c r="E223">
        <f t="shared" ca="1" si="10"/>
        <v>96.651600871970913</v>
      </c>
      <c r="F223">
        <f t="shared" ca="1" si="11"/>
        <v>2.2256307364181209</v>
      </c>
      <c r="G223" s="1" t="str">
        <f t="shared" ca="1" si="9"/>
        <v>INSERT INTO tableRegionAnimalTest VALUES (' 2019-01-03 ',' 05:00 ', 'Macan', '437.966382199057', '96.6516008719709', '2.22563073641812');</v>
      </c>
    </row>
    <row r="224" spans="1:7" x14ac:dyDescent="0.25">
      <c r="A224" s="1">
        <v>43468</v>
      </c>
      <c r="B224" s="2">
        <v>0.249999999999998</v>
      </c>
      <c r="C224" t="s">
        <v>7</v>
      </c>
      <c r="D224">
        <v>428.98729677453133</v>
      </c>
      <c r="E224">
        <f t="shared" ca="1" si="10"/>
        <v>95.793539073736696</v>
      </c>
      <c r="F224">
        <f t="shared" ca="1" si="11"/>
        <v>2.7182661419522911</v>
      </c>
      <c r="G224" s="1" t="str">
        <f t="shared" ca="1" si="9"/>
        <v>INSERT INTO tableRegionAnimalTest VALUES (' 2019-01-03 ',' 06:00 ', 'Macan', '428.987296774531', '95.7935390737367', '2.71826614195229');</v>
      </c>
    </row>
    <row r="225" spans="1:7" x14ac:dyDescent="0.25">
      <c r="A225" s="1">
        <v>43468</v>
      </c>
      <c r="B225" s="2">
        <v>0.29166666666666502</v>
      </c>
      <c r="C225" t="s">
        <v>7</v>
      </c>
      <c r="D225">
        <v>471.80320194182298</v>
      </c>
      <c r="E225">
        <f t="shared" ca="1" si="10"/>
        <v>95.812199207986481</v>
      </c>
      <c r="F225">
        <f t="shared" ca="1" si="11"/>
        <v>2.5803031632729598</v>
      </c>
      <c r="G225" s="1" t="str">
        <f t="shared" ca="1" si="9"/>
        <v>INSERT INTO tableRegionAnimalTest VALUES (' 2019-01-03 ',' 07:00 ', 'Macan', '471.803201941823', '95.8121992079865', '2.58030316327296');</v>
      </c>
    </row>
    <row r="226" spans="1:7" x14ac:dyDescent="0.25">
      <c r="A226" s="1">
        <v>43468</v>
      </c>
      <c r="B226" s="2">
        <v>0.33333333333333198</v>
      </c>
      <c r="C226" t="s">
        <v>7</v>
      </c>
      <c r="D226">
        <v>491.94465449490497</v>
      </c>
      <c r="E226">
        <f t="shared" ca="1" si="10"/>
        <v>96.672154229385171</v>
      </c>
      <c r="F226">
        <f t="shared" ca="1" si="11"/>
        <v>2.3113059737579822</v>
      </c>
      <c r="G226" s="1" t="str">
        <f t="shared" ca="1" si="9"/>
        <v>INSERT INTO tableRegionAnimalTest VALUES (' 2019-01-03 ',' 08:00 ', 'Macan', '491.944654494905', '96.6721542293852', '2.31130597375798');</v>
      </c>
    </row>
    <row r="227" spans="1:7" x14ac:dyDescent="0.25">
      <c r="A227" s="1">
        <v>43468</v>
      </c>
      <c r="B227" s="2">
        <v>0.374999999999999</v>
      </c>
      <c r="C227" t="s">
        <v>7</v>
      </c>
      <c r="D227">
        <v>524.72035043695655</v>
      </c>
      <c r="E227">
        <f t="shared" ca="1" si="10"/>
        <v>96.587794871738097</v>
      </c>
      <c r="F227">
        <f t="shared" ca="1" si="11"/>
        <v>2.105913684726874</v>
      </c>
      <c r="G227" s="1" t="str">
        <f t="shared" ca="1" si="9"/>
        <v>INSERT INTO tableRegionAnimalTest VALUES (' 2019-01-03 ',' 09:00 ', 'Macan', '524.720350436957', '96.5877948717381', '2.10591368472687');</v>
      </c>
    </row>
    <row r="228" spans="1:7" x14ac:dyDescent="0.25">
      <c r="A228" s="1">
        <v>43468</v>
      </c>
      <c r="B228" s="2">
        <v>0.41666666666666502</v>
      </c>
      <c r="C228" t="s">
        <v>7</v>
      </c>
      <c r="D228">
        <v>573.46033445453929</v>
      </c>
      <c r="E228">
        <f t="shared" ca="1" si="10"/>
        <v>96.144851994411326</v>
      </c>
      <c r="F228">
        <f t="shared" ca="1" si="11"/>
        <v>1.9488297267428458</v>
      </c>
      <c r="G228" s="1" t="str">
        <f t="shared" ca="1" si="9"/>
        <v>INSERT INTO tableRegionAnimalTest VALUES (' 2019-01-03 ',' 10:00 ', 'Macan', '573.460334454539', '96.1448519944113', '1.94882972674285');</v>
      </c>
    </row>
    <row r="229" spans="1:7" x14ac:dyDescent="0.25">
      <c r="A229" s="1">
        <v>43468</v>
      </c>
      <c r="B229" s="2">
        <v>0.45833333333333198</v>
      </c>
      <c r="C229" t="s">
        <v>7</v>
      </c>
      <c r="D229">
        <v>659.46000929397314</v>
      </c>
      <c r="E229">
        <f t="shared" ca="1" si="10"/>
        <v>96.656845488995387</v>
      </c>
      <c r="F229">
        <f t="shared" ca="1" si="11"/>
        <v>0.96928013156534443</v>
      </c>
      <c r="G229" s="1" t="str">
        <f t="shared" ca="1" si="9"/>
        <v>INSERT INTO tableRegionAnimalTest VALUES (' 2019-01-03 ',' 11:00 ', 'Macan', '659.460009293973', '96.6568454889954', '0.969280131565344');</v>
      </c>
    </row>
    <row r="230" spans="1:7" x14ac:dyDescent="0.25">
      <c r="A230" s="1">
        <v>43468</v>
      </c>
      <c r="B230" s="2">
        <v>0.499999999999999</v>
      </c>
      <c r="C230" t="s">
        <v>7</v>
      </c>
      <c r="D230">
        <v>687.26455017725561</v>
      </c>
      <c r="E230">
        <f t="shared" ca="1" si="10"/>
        <v>96.476806778760178</v>
      </c>
      <c r="F230">
        <f t="shared" ca="1" si="11"/>
        <v>1.2193505030313303</v>
      </c>
      <c r="G230" s="1" t="str">
        <f t="shared" ca="1" si="9"/>
        <v>INSERT INTO tableRegionAnimalTest VALUES (' 2019-01-03 ',' 12:00 ', 'Macan', '687.264550177256', '96.4768067787602', '1.21935050303133');</v>
      </c>
    </row>
    <row r="231" spans="1:7" x14ac:dyDescent="0.25">
      <c r="A231" s="1">
        <v>43468</v>
      </c>
      <c r="B231" s="2">
        <v>0.54166666666666596</v>
      </c>
      <c r="C231" t="s">
        <v>7</v>
      </c>
      <c r="D231">
        <v>749.66544200613714</v>
      </c>
      <c r="E231">
        <f t="shared" ca="1" si="10"/>
        <v>96.659075594418141</v>
      </c>
      <c r="F231">
        <f t="shared" ca="1" si="11"/>
        <v>1.0333856850697543</v>
      </c>
      <c r="G231" s="1" t="str">
        <f t="shared" ca="1" si="9"/>
        <v>INSERT INTO tableRegionAnimalTest VALUES (' 2019-01-03 ',' 13:00 ', 'Macan', '749.665442006137', '96.6590755944181', '1.03338568506975');</v>
      </c>
    </row>
    <row r="232" spans="1:7" x14ac:dyDescent="0.25">
      <c r="A232" s="1">
        <v>43468</v>
      </c>
      <c r="B232" s="2">
        <v>0.58333333333333204</v>
      </c>
      <c r="C232" t="s">
        <v>7</v>
      </c>
      <c r="D232">
        <v>788.45550305520953</v>
      </c>
      <c r="E232">
        <f t="shared" ca="1" si="10"/>
        <v>96.308927808601609</v>
      </c>
      <c r="F232">
        <f t="shared" ca="1" si="11"/>
        <v>0.81911871779134804</v>
      </c>
      <c r="G232" s="1" t="str">
        <f t="shared" ca="1" si="9"/>
        <v>INSERT INTO tableRegionAnimalTest VALUES (' 2019-01-03 ',' 14:00 ', 'Macan', '788.45550305521', '96.3089278086016', '0.819118717791348');</v>
      </c>
    </row>
    <row r="233" spans="1:7" x14ac:dyDescent="0.25">
      <c r="A233" s="1">
        <v>43468</v>
      </c>
      <c r="B233" s="2">
        <v>0.624999999999999</v>
      </c>
      <c r="C233" t="s">
        <v>7</v>
      </c>
      <c r="D233">
        <v>787.85846282381181</v>
      </c>
      <c r="E233">
        <f t="shared" ca="1" si="10"/>
        <v>96.410901703646942</v>
      </c>
      <c r="F233">
        <f t="shared" ca="1" si="11"/>
        <v>0.87753838063224465</v>
      </c>
      <c r="G233" s="1" t="str">
        <f t="shared" ca="1" si="9"/>
        <v>INSERT INTO tableRegionAnimalTest VALUES (' 2019-01-03 ',' 15:00 ', 'Macan', '787.858462823812', '96.4109017036469', '0.877538380632245');</v>
      </c>
    </row>
    <row r="234" spans="1:7" x14ac:dyDescent="0.25">
      <c r="A234" s="1">
        <v>43468</v>
      </c>
      <c r="B234" s="2">
        <v>0.66666666666666596</v>
      </c>
      <c r="C234" t="s">
        <v>7</v>
      </c>
      <c r="D234">
        <v>852.21138729156053</v>
      </c>
      <c r="E234">
        <f t="shared" ca="1" si="10"/>
        <v>96.05956377767032</v>
      </c>
      <c r="F234">
        <f t="shared" ca="1" si="11"/>
        <v>0.89399781480137408</v>
      </c>
      <c r="G234" s="1" t="str">
        <f t="shared" ca="1" si="9"/>
        <v>INSERT INTO tableRegionAnimalTest VALUES (' 2019-01-03 ',' 16:00 ', 'Macan', '852.211387291561', '96.0595637776703', '0.893997814801374');</v>
      </c>
    </row>
    <row r="235" spans="1:7" x14ac:dyDescent="0.25">
      <c r="A235" s="1">
        <v>43468</v>
      </c>
      <c r="B235" s="2">
        <v>0.70833333333333304</v>
      </c>
      <c r="C235" t="s">
        <v>7</v>
      </c>
      <c r="D235">
        <v>845.83124468837343</v>
      </c>
      <c r="E235">
        <f t="shared" ca="1" si="10"/>
        <v>96.743281312644655</v>
      </c>
      <c r="F235">
        <f t="shared" ca="1" si="11"/>
        <v>1.3198151271283933</v>
      </c>
      <c r="G235" s="1" t="str">
        <f t="shared" ca="1" si="9"/>
        <v>INSERT INTO tableRegionAnimalTest VALUES (' 2019-01-03 ',' 17:00 ', 'Macan', '845.831244688373', '96.7432813126447', '1.31981512712839');</v>
      </c>
    </row>
    <row r="236" spans="1:7" x14ac:dyDescent="0.25">
      <c r="A236" s="1">
        <v>43468</v>
      </c>
      <c r="B236" s="2">
        <v>0.749999999999999</v>
      </c>
      <c r="C236" t="s">
        <v>7</v>
      </c>
      <c r="D236">
        <v>839.95487558728337</v>
      </c>
      <c r="E236">
        <f t="shared" ca="1" si="10"/>
        <v>97.591566442023989</v>
      </c>
      <c r="F236">
        <f t="shared" ca="1" si="11"/>
        <v>1.1230147907167107</v>
      </c>
      <c r="G236" s="1" t="str">
        <f t="shared" ca="1" si="9"/>
        <v>INSERT INTO tableRegionAnimalTest VALUES (' 2019-01-03 ',' 18:00 ', 'Macan', '839.954875587283', '97.591566442024', '1.12301479071671');</v>
      </c>
    </row>
    <row r="237" spans="1:7" x14ac:dyDescent="0.25">
      <c r="A237" s="1">
        <v>43468</v>
      </c>
      <c r="B237" s="2">
        <v>0.79166666666666596</v>
      </c>
      <c r="C237" t="s">
        <v>7</v>
      </c>
      <c r="D237">
        <v>815.33623039591862</v>
      </c>
      <c r="E237">
        <f t="shared" ca="1" si="10"/>
        <v>96.611554971853579</v>
      </c>
      <c r="F237">
        <f t="shared" ca="1" si="11"/>
        <v>1.1481589426784273</v>
      </c>
      <c r="G237" s="1" t="str">
        <f t="shared" ca="1" si="9"/>
        <v>INSERT INTO tableRegionAnimalTest VALUES (' 2019-01-03 ',' 19:00 ', 'Macan', '815.336230395919', '96.6115549718536', '1.14815894267843');</v>
      </c>
    </row>
    <row r="238" spans="1:7" x14ac:dyDescent="0.25">
      <c r="A238" s="1">
        <v>43468</v>
      </c>
      <c r="B238" s="2">
        <v>0.83333333333333304</v>
      </c>
      <c r="C238" t="s">
        <v>7</v>
      </c>
      <c r="D238">
        <v>787.90138428677574</v>
      </c>
      <c r="E238">
        <f t="shared" ca="1" si="10"/>
        <v>96.89310535488012</v>
      </c>
      <c r="F238">
        <f t="shared" ca="1" si="11"/>
        <v>1.0323416492750719</v>
      </c>
      <c r="G238" s="1" t="str">
        <f t="shared" ca="1" si="9"/>
        <v>INSERT INTO tableRegionAnimalTest VALUES (' 2019-01-03 ',' 20:00 ', 'Macan', '787.901384286776', '96.8931053548801', '1.03234164927507');</v>
      </c>
    </row>
    <row r="239" spans="1:7" x14ac:dyDescent="0.25">
      <c r="A239" s="1">
        <v>43468</v>
      </c>
      <c r="B239" s="2">
        <v>0.875</v>
      </c>
      <c r="C239" t="s">
        <v>7</v>
      </c>
      <c r="D239">
        <v>723.70821369701707</v>
      </c>
      <c r="E239">
        <f t="shared" ca="1" si="10"/>
        <v>97.747390415652063</v>
      </c>
      <c r="F239">
        <f t="shared" ca="1" si="11"/>
        <v>1.0037090852276624</v>
      </c>
      <c r="G239" s="1" t="str">
        <f t="shared" ca="1" si="9"/>
        <v>INSERT INTO tableRegionAnimalTest VALUES (' 2019-01-03 ',' 21:00 ', 'Macan', '723.708213697017', '97.7473904156521', '1.00370908522766');</v>
      </c>
    </row>
    <row r="240" spans="1:7" x14ac:dyDescent="0.25">
      <c r="A240" s="1">
        <v>43468</v>
      </c>
      <c r="B240" s="2">
        <v>0.91666666666666663</v>
      </c>
      <c r="C240" t="s">
        <v>7</v>
      </c>
      <c r="D240">
        <v>686.90413509639768</v>
      </c>
      <c r="E240">
        <f t="shared" ca="1" si="10"/>
        <v>98.057347352500528</v>
      </c>
      <c r="F240">
        <f t="shared" ca="1" si="11"/>
        <v>0.87545418814091136</v>
      </c>
      <c r="G240" s="1" t="str">
        <f t="shared" ca="1" si="9"/>
        <v>INSERT INTO tableRegionAnimalTest VALUES (' 2019-01-03 ',' 22:00 ', 'Macan', '686.904135096398', '98.0573473525005', '0.875454188140911');</v>
      </c>
    </row>
    <row r="241" spans="1:7" x14ac:dyDescent="0.25">
      <c r="A241" s="1">
        <v>43468</v>
      </c>
      <c r="B241" s="2">
        <v>0.95833333333333337</v>
      </c>
      <c r="C241" t="s">
        <v>7</v>
      </c>
      <c r="D241">
        <v>611.39855504962725</v>
      </c>
      <c r="E241">
        <f t="shared" ca="1" si="10"/>
        <v>97.509166653684176</v>
      </c>
      <c r="F241">
        <f t="shared" ca="1" si="11"/>
        <v>1.7356264686568568</v>
      </c>
      <c r="G241" s="1" t="str">
        <f t="shared" ca="1" si="9"/>
        <v>INSERT INTO tableRegionAnimalTest VALUES (' 2019-01-03 ',' 23:00 ', 'Macan', '611.398555049627', '97.5091666536842', '1.73562646865686');</v>
      </c>
    </row>
    <row r="242" spans="1:7" x14ac:dyDescent="0.25">
      <c r="A242" s="1">
        <v>43469</v>
      </c>
      <c r="B242" s="2">
        <v>0</v>
      </c>
      <c r="C242" t="s">
        <v>7</v>
      </c>
      <c r="D242">
        <v>573.08978298378167</v>
      </c>
      <c r="E242">
        <f t="shared" ca="1" si="10"/>
        <v>98.144613390383441</v>
      </c>
      <c r="F242">
        <f t="shared" ca="1" si="11"/>
        <v>0.98218203733975007</v>
      </c>
      <c r="G242" s="1" t="str">
        <f t="shared" ca="1" si="9"/>
        <v>INSERT INTO tableRegionAnimalTest VALUES (' 2019-01-04 ',' 00:00 ', 'Macan', '573.089782983782', '98.1446133903834', '0.98218203733975');</v>
      </c>
    </row>
    <row r="243" spans="1:7" x14ac:dyDescent="0.25">
      <c r="A243" s="1">
        <v>43469</v>
      </c>
      <c r="B243" s="2">
        <v>4.1666666666665401E-2</v>
      </c>
      <c r="C243" t="s">
        <v>7</v>
      </c>
      <c r="D243">
        <v>512.56052066087398</v>
      </c>
      <c r="E243">
        <f t="shared" ca="1" si="10"/>
        <v>99.113806400278008</v>
      </c>
      <c r="F243">
        <f t="shared" ca="1" si="11"/>
        <v>0.98880875041993976</v>
      </c>
      <c r="G243" s="1" t="str">
        <f t="shared" ca="1" si="9"/>
        <v>INSERT INTO tableRegionAnimalTest VALUES (' 2019-01-04 ',' 01:00 ', 'Macan', '512.560520660874', '99.113806400278', '0.98880875041994');</v>
      </c>
    </row>
    <row r="244" spans="1:7" x14ac:dyDescent="0.25">
      <c r="A244" s="1">
        <v>43469</v>
      </c>
      <c r="B244" s="2">
        <v>8.33333333333314E-2</v>
      </c>
      <c r="C244" t="s">
        <v>7</v>
      </c>
      <c r="D244">
        <v>460.18305249417529</v>
      </c>
      <c r="E244">
        <f t="shared" ca="1" si="10"/>
        <v>98.795140379856207</v>
      </c>
      <c r="F244">
        <f t="shared" ca="1" si="11"/>
        <v>1.6113697138301091</v>
      </c>
      <c r="G244" s="1" t="str">
        <f t="shared" ca="1" si="9"/>
        <v>INSERT INTO tableRegionAnimalTest VALUES (' 2019-01-04 ',' 02:00 ', 'Macan', '460.183052494175', '98.7951403798562', '1.61136971383011');</v>
      </c>
    </row>
    <row r="245" spans="1:7" x14ac:dyDescent="0.25">
      <c r="A245" s="1">
        <v>43469</v>
      </c>
      <c r="B245" s="2">
        <v>0.124999999999998</v>
      </c>
      <c r="C245" t="s">
        <v>7</v>
      </c>
      <c r="D245">
        <v>473.16694450531509</v>
      </c>
      <c r="E245">
        <f t="shared" ca="1" si="10"/>
        <v>98.240483585699735</v>
      </c>
      <c r="F245">
        <f t="shared" ca="1" si="11"/>
        <v>1.9111164747697704</v>
      </c>
      <c r="G245" s="1" t="str">
        <f t="shared" ca="1" si="9"/>
        <v>INSERT INTO tableRegionAnimalTest VALUES (' 2019-01-04 ',' 03:00 ', 'Macan', '473.166944505315', '98.2404835856997', '1.91111647476977');</v>
      </c>
    </row>
    <row r="246" spans="1:7" x14ac:dyDescent="0.25">
      <c r="A246" s="1">
        <v>43469</v>
      </c>
      <c r="B246" s="2">
        <v>0.16666666666666499</v>
      </c>
      <c r="C246" t="s">
        <v>7</v>
      </c>
      <c r="D246">
        <v>402.73654107428854</v>
      </c>
      <c r="E246">
        <f t="shared" ca="1" si="10"/>
        <v>98.788805655617082</v>
      </c>
      <c r="F246">
        <f t="shared" ca="1" si="11"/>
        <v>1.926389575068792</v>
      </c>
      <c r="G246" s="1" t="str">
        <f t="shared" ca="1" si="9"/>
        <v>INSERT INTO tableRegionAnimalTest VALUES (' 2019-01-04 ',' 04:00 ', 'Macan', '402.736541074289', '98.7888056556171', '1.92638957506879');</v>
      </c>
    </row>
    <row r="247" spans="1:7" x14ac:dyDescent="0.25">
      <c r="A247" s="1">
        <v>43469</v>
      </c>
      <c r="B247" s="2">
        <v>0.20833333333333201</v>
      </c>
      <c r="C247" t="s">
        <v>7</v>
      </c>
      <c r="D247">
        <v>412.44677676081506</v>
      </c>
      <c r="E247">
        <f t="shared" ca="1" si="10"/>
        <v>98.457438092053778</v>
      </c>
      <c r="F247">
        <f t="shared" ca="1" si="11"/>
        <v>1.0947205196776639</v>
      </c>
      <c r="G247" s="1" t="str">
        <f t="shared" ca="1" si="9"/>
        <v>INSERT INTO tableRegionAnimalTest VALUES (' 2019-01-04 ',' 05:00 ', 'Macan', '412.446776760815', '98.4574380920538', '1.09472051967766');</v>
      </c>
    </row>
    <row r="248" spans="1:7" x14ac:dyDescent="0.25">
      <c r="A248" s="1">
        <v>43469</v>
      </c>
      <c r="B248" s="2">
        <v>0.249999999999998</v>
      </c>
      <c r="C248" t="s">
        <v>7</v>
      </c>
      <c r="D248">
        <v>418.92386131414651</v>
      </c>
      <c r="E248">
        <f t="shared" ca="1" si="10"/>
        <v>98.116203877341434</v>
      </c>
      <c r="F248">
        <f t="shared" ca="1" si="11"/>
        <v>1.6898977661606702</v>
      </c>
      <c r="G248" s="1" t="str">
        <f t="shared" ca="1" si="9"/>
        <v>INSERT INTO tableRegionAnimalTest VALUES (' 2019-01-04 ',' 06:00 ', 'Macan', '418.923861314147', '98.1162038773414', '1.68989776616067');</v>
      </c>
    </row>
    <row r="249" spans="1:7" x14ac:dyDescent="0.25">
      <c r="A249" s="1">
        <v>43469</v>
      </c>
      <c r="B249" s="2">
        <v>0.29166666666666502</v>
      </c>
      <c r="C249" t="s">
        <v>7</v>
      </c>
      <c r="D249">
        <v>466.51965475191673</v>
      </c>
      <c r="E249">
        <f t="shared" ca="1" si="10"/>
        <v>98.798461112662778</v>
      </c>
      <c r="F249">
        <f t="shared" ca="1" si="11"/>
        <v>2.6261235638950904</v>
      </c>
      <c r="G249" s="1" t="str">
        <f t="shared" ca="1" si="9"/>
        <v>INSERT INTO tableRegionAnimalTest VALUES (' 2019-01-04 ',' 07:00 ', 'Macan', '466.519654751917', '98.7984611126628', '2.62612356389509');</v>
      </c>
    </row>
    <row r="250" spans="1:7" x14ac:dyDescent="0.25">
      <c r="A250" s="1">
        <v>43469</v>
      </c>
      <c r="B250" s="2">
        <v>0.33333333333333198</v>
      </c>
      <c r="C250" t="s">
        <v>7</v>
      </c>
      <c r="D250">
        <v>481.18254729410734</v>
      </c>
      <c r="E250">
        <f t="shared" ca="1" si="10"/>
        <v>98.547046505723628</v>
      </c>
      <c r="F250">
        <f t="shared" ca="1" si="11"/>
        <v>2.135963634807263</v>
      </c>
      <c r="G250" s="1" t="str">
        <f t="shared" ca="1" si="9"/>
        <v>INSERT INTO tableRegionAnimalTest VALUES (' 2019-01-04 ',' 08:00 ', 'Macan', '481.182547294107', '98.5470465057236', '2.13596363480726');</v>
      </c>
    </row>
    <row r="251" spans="1:7" x14ac:dyDescent="0.25">
      <c r="A251" s="1">
        <v>43469</v>
      </c>
      <c r="B251" s="2">
        <v>0.374999999999999</v>
      </c>
      <c r="C251" t="s">
        <v>7</v>
      </c>
      <c r="D251">
        <v>513.21014922837981</v>
      </c>
      <c r="E251">
        <f t="shared" ca="1" si="10"/>
        <v>98.804196361257965</v>
      </c>
      <c r="F251">
        <f t="shared" ca="1" si="11"/>
        <v>2.6109774230652127</v>
      </c>
      <c r="G251" s="1" t="str">
        <f t="shared" ca="1" si="9"/>
        <v>INSERT INTO tableRegionAnimalTest VALUES (' 2019-01-04 ',' 09:00 ', 'Macan', '513.21014922838', '98.804196361258', '2.61097742306521');</v>
      </c>
    </row>
    <row r="252" spans="1:7" x14ac:dyDescent="0.25">
      <c r="A252" s="1">
        <v>43469</v>
      </c>
      <c r="B252" s="2">
        <v>0.41666666666666502</v>
      </c>
      <c r="C252" t="s">
        <v>7</v>
      </c>
      <c r="D252">
        <v>577.88508176215737</v>
      </c>
      <c r="E252">
        <f t="shared" ca="1" si="10"/>
        <v>98.254867549441101</v>
      </c>
      <c r="F252">
        <f t="shared" ca="1" si="11"/>
        <v>2.4150477106640484</v>
      </c>
      <c r="G252" s="1" t="str">
        <f t="shared" ca="1" si="9"/>
        <v>INSERT INTO tableRegionAnimalTest VALUES (' 2019-01-04 ',' 10:00 ', 'Macan', '577.885081762157', '98.2548675494411', '2.41504771066405');</v>
      </c>
    </row>
    <row r="253" spans="1:7" x14ac:dyDescent="0.25">
      <c r="A253" s="1">
        <v>43469</v>
      </c>
      <c r="B253" s="2">
        <v>0.45833333333333198</v>
      </c>
      <c r="C253" t="s">
        <v>7</v>
      </c>
      <c r="D253">
        <v>655.28231023685419</v>
      </c>
      <c r="E253">
        <f t="shared" ca="1" si="10"/>
        <v>98.951650611781801</v>
      </c>
      <c r="F253">
        <f t="shared" ca="1" si="11"/>
        <v>3.0612556569089309</v>
      </c>
      <c r="G253" s="1" t="str">
        <f t="shared" ca="1" si="9"/>
        <v>INSERT INTO tableRegionAnimalTest VALUES (' 2019-01-04 ',' 11:00 ', 'Macan', '655.282310236854', '98.9516506117818', '3.06125565690893');</v>
      </c>
    </row>
    <row r="254" spans="1:7" x14ac:dyDescent="0.25">
      <c r="A254" s="1">
        <v>43469</v>
      </c>
      <c r="B254" s="2">
        <v>0.499999999999999</v>
      </c>
      <c r="C254" t="s">
        <v>7</v>
      </c>
      <c r="D254">
        <v>669.81466490239677</v>
      </c>
      <c r="E254">
        <f t="shared" ca="1" si="10"/>
        <v>99.525076156947989</v>
      </c>
      <c r="F254">
        <f t="shared" ca="1" si="11"/>
        <v>2.4327529453433621</v>
      </c>
      <c r="G254" s="1" t="str">
        <f t="shared" ca="1" si="9"/>
        <v>INSERT INTO tableRegionAnimalTest VALUES (' 2019-01-04 ',' 12:00 ', 'Macan', '669.814664902397', '99.525076156948', '2.43275294534336');</v>
      </c>
    </row>
    <row r="255" spans="1:7" x14ac:dyDescent="0.25">
      <c r="A255" s="1">
        <v>43469</v>
      </c>
      <c r="B255" s="2">
        <v>0.54166666666666596</v>
      </c>
      <c r="C255" t="s">
        <v>7</v>
      </c>
      <c r="D255">
        <v>736.24050695963911</v>
      </c>
      <c r="E255">
        <f t="shared" ca="1" si="10"/>
        <v>99.452988551451924</v>
      </c>
      <c r="F255">
        <f t="shared" ca="1" si="11"/>
        <v>2.6461028928826158</v>
      </c>
      <c r="G255" s="1" t="str">
        <f t="shared" ca="1" si="9"/>
        <v>INSERT INTO tableRegionAnimalTest VALUES (' 2019-01-04 ',' 13:00 ', 'Macan', '736.240506959639', '99.4529885514519', '2.64610289288262');</v>
      </c>
    </row>
    <row r="256" spans="1:7" x14ac:dyDescent="0.25">
      <c r="A256" s="1">
        <v>43469</v>
      </c>
      <c r="B256" s="2">
        <v>0.58333333333333204</v>
      </c>
      <c r="C256" t="s">
        <v>7</v>
      </c>
      <c r="D256">
        <v>788.38212121113543</v>
      </c>
      <c r="E256">
        <f t="shared" ca="1" si="10"/>
        <v>99.134176587828776</v>
      </c>
      <c r="F256">
        <f t="shared" ca="1" si="11"/>
        <v>2.0274102188477667</v>
      </c>
      <c r="G256" s="1" t="str">
        <f t="shared" ca="1" si="9"/>
        <v>INSERT INTO tableRegionAnimalTest VALUES (' 2019-01-04 ',' 14:00 ', 'Macan', '788.382121211135', '99.1341765878288', '2.02741021884777');</v>
      </c>
    </row>
    <row r="257" spans="1:7" x14ac:dyDescent="0.25">
      <c r="A257" s="1">
        <v>43469</v>
      </c>
      <c r="B257" s="2">
        <v>0.624999999999999</v>
      </c>
      <c r="C257" t="s">
        <v>7</v>
      </c>
      <c r="D257">
        <v>828.94829916681397</v>
      </c>
      <c r="E257">
        <f t="shared" ca="1" si="10"/>
        <v>98.463507648656631</v>
      </c>
      <c r="F257">
        <f t="shared" ca="1" si="11"/>
        <v>2.4826948718040409</v>
      </c>
      <c r="G257" s="1" t="str">
        <f t="shared" ca="1" si="9"/>
        <v>INSERT INTO tableRegionAnimalTest VALUES (' 2019-01-04 ',' 15:00 ', 'Macan', '828.948299166814', '98.4635076486566', '2.48269487180404');</v>
      </c>
    </row>
    <row r="258" spans="1:7" x14ac:dyDescent="0.25">
      <c r="A258" s="1">
        <v>43469</v>
      </c>
      <c r="B258" s="2">
        <v>0.66666666666666596</v>
      </c>
      <c r="C258" t="s">
        <v>7</v>
      </c>
      <c r="D258">
        <v>818.92390107597498</v>
      </c>
      <c r="E258">
        <f t="shared" ca="1" si="10"/>
        <v>98.295751456160772</v>
      </c>
      <c r="F258">
        <f t="shared" ca="1" si="11"/>
        <v>2.6204987559529931</v>
      </c>
      <c r="G258" s="1" t="str">
        <f t="shared" ca="1" si="9"/>
        <v>INSERT INTO tableRegionAnimalTest VALUES (' 2019-01-04 ',' 16:00 ', 'Macan', '818.923901075975', '98.2957514561608', '2.62049875595299');</v>
      </c>
    </row>
    <row r="259" spans="1:7" x14ac:dyDescent="0.25">
      <c r="A259" s="1">
        <v>43469</v>
      </c>
      <c r="B259" s="2">
        <v>0.70833333333333304</v>
      </c>
      <c r="C259" t="s">
        <v>7</v>
      </c>
      <c r="D259">
        <v>837.07945757303764</v>
      </c>
      <c r="E259">
        <f t="shared" ca="1" si="10"/>
        <v>98.514109991344313</v>
      </c>
      <c r="F259">
        <f t="shared" ca="1" si="11"/>
        <v>1.7274329622655349</v>
      </c>
      <c r="G259" s="1" t="str">
        <f t="shared" ref="G259:G322" ca="1" si="12">"INSERT INTO tableRegionAnimalTest VALUES (' "&amp;TEXT(A259,"yyyy-mm-dd")&amp;" ',' "&amp;TEXT(B259,"hh:mm")&amp;" ', '"&amp;C259&amp;"', '"&amp;D259&amp;"', '"&amp;E259&amp;"', '"&amp;F259&amp;"');"</f>
        <v>INSERT INTO tableRegionAnimalTest VALUES (' 2019-01-04 ',' 17:00 ', 'Macan', '837.079457573038', '98.5141099913443', '1.72743296226553');</v>
      </c>
    </row>
    <row r="260" spans="1:7" x14ac:dyDescent="0.25">
      <c r="A260" s="1">
        <v>43469</v>
      </c>
      <c r="B260" s="2">
        <v>0.749999999999999</v>
      </c>
      <c r="C260" t="s">
        <v>7</v>
      </c>
      <c r="D260">
        <v>820.16011773787818</v>
      </c>
      <c r="E260">
        <f t="shared" ref="E260:E323" ca="1" si="13">IF(E259&gt;=99, -(RAND()*1)+E259, IF(E259&lt;=81, (RAND()*1) +E259, (RAND()*1)* (RANDBETWEEN(0,1)*2-1) +E259))</f>
        <v>98.427021345281645</v>
      </c>
      <c r="F260">
        <f t="shared" ref="F260:F323" ca="1" si="14">IF(F259&gt;=5, -(RAND()*1)+F259, IF(F259&lt;=1, (RAND()*1) +F259, (RAND()*1)* (RANDBETWEEN(0,1)*2-1) +F259))</f>
        <v>2.3882741296929266</v>
      </c>
      <c r="G260" s="1" t="str">
        <f t="shared" ca="1" si="12"/>
        <v>INSERT INTO tableRegionAnimalTest VALUES (' 2019-01-04 ',' 18:00 ', 'Macan', '820.160117737878', '98.4270213452816', '2.38827412969293');</v>
      </c>
    </row>
    <row r="261" spans="1:7" x14ac:dyDescent="0.25">
      <c r="A261" s="1">
        <v>43469</v>
      </c>
      <c r="B261" s="2">
        <v>0.79166666666666596</v>
      </c>
      <c r="C261" t="s">
        <v>7</v>
      </c>
      <c r="D261">
        <v>787.90989683591397</v>
      </c>
      <c r="E261">
        <f t="shared" ca="1" si="13"/>
        <v>98.993457722283694</v>
      </c>
      <c r="F261">
        <f t="shared" ca="1" si="14"/>
        <v>3.2340838434941754</v>
      </c>
      <c r="G261" s="1" t="str">
        <f t="shared" ca="1" si="12"/>
        <v>INSERT INTO tableRegionAnimalTest VALUES (' 2019-01-04 ',' 19:00 ', 'Macan', '787.909896835914', '98.9934577222837', '3.23408384349418');</v>
      </c>
    </row>
    <row r="262" spans="1:7" x14ac:dyDescent="0.25">
      <c r="A262" s="1">
        <v>43469</v>
      </c>
      <c r="B262" s="2">
        <v>0.83333333333333304</v>
      </c>
      <c r="C262" t="s">
        <v>7</v>
      </c>
      <c r="D262">
        <v>757.28711472694761</v>
      </c>
      <c r="E262">
        <f t="shared" ca="1" si="13"/>
        <v>99.09916779698888</v>
      </c>
      <c r="F262">
        <f t="shared" ca="1" si="14"/>
        <v>4.1472746172716777</v>
      </c>
      <c r="G262" s="1" t="str">
        <f t="shared" ca="1" si="12"/>
        <v>INSERT INTO tableRegionAnimalTest VALUES (' 2019-01-04 ',' 20:00 ', 'Macan', '757.287114726948', '99.0991677969889', '4.14727461727168');</v>
      </c>
    </row>
    <row r="263" spans="1:7" x14ac:dyDescent="0.25">
      <c r="A263" s="1">
        <v>43469</v>
      </c>
      <c r="B263" s="2">
        <v>0.875</v>
      </c>
      <c r="C263" t="s">
        <v>7</v>
      </c>
      <c r="D263">
        <v>704.3492521722228</v>
      </c>
      <c r="E263">
        <f t="shared" ca="1" si="13"/>
        <v>98.443163896166382</v>
      </c>
      <c r="F263">
        <f t="shared" ca="1" si="14"/>
        <v>4.8176562717334095</v>
      </c>
      <c r="G263" s="1" t="str">
        <f t="shared" ca="1" si="12"/>
        <v>INSERT INTO tableRegionAnimalTest VALUES (' 2019-01-04 ',' 21:00 ', 'Macan', '704.349252172223', '98.4431638961664', '4.81765627173341');</v>
      </c>
    </row>
    <row r="264" spans="1:7" x14ac:dyDescent="0.25">
      <c r="A264" s="1">
        <v>43469</v>
      </c>
      <c r="B264" s="2">
        <v>0.91666666666666663</v>
      </c>
      <c r="C264" t="s">
        <v>7</v>
      </c>
      <c r="D264">
        <v>684.8863535430047</v>
      </c>
      <c r="E264">
        <f t="shared" ca="1" si="13"/>
        <v>99.371056803893154</v>
      </c>
      <c r="F264">
        <f t="shared" ca="1" si="14"/>
        <v>5.6384262965795298</v>
      </c>
      <c r="G264" s="1" t="str">
        <f t="shared" ca="1" si="12"/>
        <v>INSERT INTO tableRegionAnimalTest VALUES (' 2019-01-04 ',' 22:00 ', 'Macan', '684.886353543005', '99.3710568038932', '5.63842629657953');</v>
      </c>
    </row>
    <row r="265" spans="1:7" x14ac:dyDescent="0.25">
      <c r="A265" s="1">
        <v>43469</v>
      </c>
      <c r="B265" s="2">
        <v>0.95833333333333337</v>
      </c>
      <c r="C265" t="s">
        <v>7</v>
      </c>
      <c r="D265">
        <v>620.91429357880531</v>
      </c>
      <c r="E265">
        <f t="shared" ca="1" si="13"/>
        <v>98.58052924233867</v>
      </c>
      <c r="F265">
        <f t="shared" ca="1" si="14"/>
        <v>5.6199891256774439</v>
      </c>
      <c r="G265" s="1" t="str">
        <f t="shared" ca="1" si="12"/>
        <v>INSERT INTO tableRegionAnimalTest VALUES (' 2019-01-04 ',' 23:00 ', 'Macan', '620.914293578805', '98.5805292423387', '5.61998912567744');</v>
      </c>
    </row>
    <row r="266" spans="1:7" x14ac:dyDescent="0.25">
      <c r="A266" s="1">
        <v>43470</v>
      </c>
      <c r="B266" s="2">
        <v>0</v>
      </c>
      <c r="C266" t="s">
        <v>7</v>
      </c>
      <c r="D266">
        <v>565.2578057257906</v>
      </c>
      <c r="E266">
        <f t="shared" ca="1" si="13"/>
        <v>99.196443781968284</v>
      </c>
      <c r="F266">
        <f t="shared" ca="1" si="14"/>
        <v>5.0180852929928026</v>
      </c>
      <c r="G266" s="1" t="str">
        <f t="shared" ca="1" si="12"/>
        <v>INSERT INTO tableRegionAnimalTest VALUES (' 2019-01-05 ',' 00:00 ', 'Macan', '565.257805725791', '99.1964437819683', '5.0180852929928');</v>
      </c>
    </row>
    <row r="267" spans="1:7" x14ac:dyDescent="0.25">
      <c r="A267" s="1">
        <v>43470</v>
      </c>
      <c r="B267" s="2">
        <v>4.1666666666665401E-2</v>
      </c>
      <c r="C267" t="s">
        <v>7</v>
      </c>
      <c r="D267">
        <v>515.51769590672177</v>
      </c>
      <c r="E267">
        <f t="shared" ca="1" si="13"/>
        <v>99.067516669018104</v>
      </c>
      <c r="F267">
        <f t="shared" ca="1" si="14"/>
        <v>4.1480650461719071</v>
      </c>
      <c r="G267" s="1" t="str">
        <f t="shared" ca="1" si="12"/>
        <v>INSERT INTO tableRegionAnimalTest VALUES (' 2019-01-05 ',' 01:00 ', 'Macan', '515.517695906722', '99.0675166690181', '4.14806504617191');</v>
      </c>
    </row>
    <row r="268" spans="1:7" x14ac:dyDescent="0.25">
      <c r="A268" s="1">
        <v>43470</v>
      </c>
      <c r="B268" s="2">
        <v>8.33333333333314E-2</v>
      </c>
      <c r="C268" t="s">
        <v>7</v>
      </c>
      <c r="D268">
        <v>470.05271660488307</v>
      </c>
      <c r="E268">
        <f t="shared" ca="1" si="13"/>
        <v>98.684836167024812</v>
      </c>
      <c r="F268">
        <f t="shared" ca="1" si="14"/>
        <v>4.3076762564884419</v>
      </c>
      <c r="G268" s="1" t="str">
        <f t="shared" ca="1" si="12"/>
        <v>INSERT INTO tableRegionAnimalTest VALUES (' 2019-01-05 ',' 02:00 ', 'Macan', '470.052716604883', '98.6848361670248', '4.30767625648844');</v>
      </c>
    </row>
    <row r="269" spans="1:7" x14ac:dyDescent="0.25">
      <c r="A269" s="1">
        <v>43470</v>
      </c>
      <c r="B269" s="2">
        <v>0.124999999999998</v>
      </c>
      <c r="C269" t="s">
        <v>7</v>
      </c>
      <c r="D269">
        <v>446.75709072846718</v>
      </c>
      <c r="E269">
        <f t="shared" ca="1" si="13"/>
        <v>98.989432310476445</v>
      </c>
      <c r="F269">
        <f t="shared" ca="1" si="14"/>
        <v>5.1354434042183188</v>
      </c>
      <c r="G269" s="1" t="str">
        <f t="shared" ca="1" si="12"/>
        <v>INSERT INTO tableRegionAnimalTest VALUES (' 2019-01-05 ',' 03:00 ', 'Macan', '446.757090728467', '98.9894323104764', '5.13544340421832');</v>
      </c>
    </row>
    <row r="270" spans="1:7" x14ac:dyDescent="0.25">
      <c r="A270" s="1">
        <v>43470</v>
      </c>
      <c r="B270" s="2">
        <v>0.16666666666666499</v>
      </c>
      <c r="C270" t="s">
        <v>7</v>
      </c>
      <c r="D270">
        <v>405.2822904239012</v>
      </c>
      <c r="E270">
        <f t="shared" ca="1" si="13"/>
        <v>98.945690276561891</v>
      </c>
      <c r="F270">
        <f t="shared" ca="1" si="14"/>
        <v>4.8811137795178121</v>
      </c>
      <c r="G270" s="1" t="str">
        <f t="shared" ca="1" si="12"/>
        <v>INSERT INTO tableRegionAnimalTest VALUES (' 2019-01-05 ',' 04:00 ', 'Macan', '405.282290423901', '98.9456902765619', '4.88111377951781');</v>
      </c>
    </row>
    <row r="271" spans="1:7" x14ac:dyDescent="0.25">
      <c r="A271" s="1">
        <v>43470</v>
      </c>
      <c r="B271" s="2">
        <v>0.20833333333333201</v>
      </c>
      <c r="C271" t="s">
        <v>7</v>
      </c>
      <c r="D271">
        <v>430.83623321009037</v>
      </c>
      <c r="E271">
        <f t="shared" ca="1" si="13"/>
        <v>97.951878070005236</v>
      </c>
      <c r="F271">
        <f t="shared" ca="1" si="14"/>
        <v>4.0830243048241206</v>
      </c>
      <c r="G271" s="1" t="str">
        <f t="shared" ca="1" si="12"/>
        <v>INSERT INTO tableRegionAnimalTest VALUES (' 2019-01-05 ',' 05:00 ', 'Macan', '430.83623321009', '97.9518780700052', '4.08302430482412');</v>
      </c>
    </row>
    <row r="272" spans="1:7" x14ac:dyDescent="0.25">
      <c r="A272" s="1">
        <v>43470</v>
      </c>
      <c r="B272" s="2">
        <v>0.249999999999998</v>
      </c>
      <c r="C272" t="s">
        <v>7</v>
      </c>
      <c r="D272">
        <v>465.16689506505173</v>
      </c>
      <c r="E272">
        <f t="shared" ca="1" si="13"/>
        <v>98.614648639528852</v>
      </c>
      <c r="F272">
        <f t="shared" ca="1" si="14"/>
        <v>4.1602869041033932</v>
      </c>
      <c r="G272" s="1" t="str">
        <f t="shared" ca="1" si="12"/>
        <v>INSERT INTO tableRegionAnimalTest VALUES (' 2019-01-05 ',' 06:00 ', 'Macan', '465.166895065052', '98.6146486395289', '4.16028690410339');</v>
      </c>
    </row>
    <row r="273" spans="1:7" x14ac:dyDescent="0.25">
      <c r="A273" s="1">
        <v>43470</v>
      </c>
      <c r="B273" s="2">
        <v>0.29166666666666502</v>
      </c>
      <c r="C273" t="s">
        <v>7</v>
      </c>
      <c r="D273">
        <v>452.28138086624239</v>
      </c>
      <c r="E273">
        <f t="shared" ca="1" si="13"/>
        <v>98.081138689085336</v>
      </c>
      <c r="F273">
        <f t="shared" ca="1" si="14"/>
        <v>4.3094555566850676</v>
      </c>
      <c r="G273" s="1" t="str">
        <f t="shared" ca="1" si="12"/>
        <v>INSERT INTO tableRegionAnimalTest VALUES (' 2019-01-05 ',' 07:00 ', 'Macan', '452.281380866242', '98.0811386890853', '4.30945555668507');</v>
      </c>
    </row>
    <row r="274" spans="1:7" x14ac:dyDescent="0.25">
      <c r="A274" s="1">
        <v>43470</v>
      </c>
      <c r="B274" s="2">
        <v>0.33333333333333198</v>
      </c>
      <c r="C274" t="s">
        <v>7</v>
      </c>
      <c r="D274">
        <v>479.56807480676315</v>
      </c>
      <c r="E274">
        <f t="shared" ca="1" si="13"/>
        <v>97.389769544001567</v>
      </c>
      <c r="F274">
        <f t="shared" ca="1" si="14"/>
        <v>4.5798219443643156</v>
      </c>
      <c r="G274" s="1" t="str">
        <f t="shared" ca="1" si="12"/>
        <v>INSERT INTO tableRegionAnimalTest VALUES (' 2019-01-05 ',' 08:00 ', 'Macan', '479.568074806763', '97.3897695440016', '4.57982194436432');</v>
      </c>
    </row>
    <row r="275" spans="1:7" x14ac:dyDescent="0.25">
      <c r="A275" s="1">
        <v>43470</v>
      </c>
      <c r="B275" s="2">
        <v>0.374999999999999</v>
      </c>
      <c r="C275" t="s">
        <v>7</v>
      </c>
      <c r="D275">
        <v>554.57461870907389</v>
      </c>
      <c r="E275">
        <f t="shared" ca="1" si="13"/>
        <v>97.681130164036034</v>
      </c>
      <c r="F275">
        <f t="shared" ca="1" si="14"/>
        <v>3.6727431895021718</v>
      </c>
      <c r="G275" s="1" t="str">
        <f t="shared" ca="1" si="12"/>
        <v>INSERT INTO tableRegionAnimalTest VALUES (' 2019-01-05 ',' 09:00 ', 'Macan', '554.574618709074', '97.681130164036', '3.67274318950217');</v>
      </c>
    </row>
    <row r="276" spans="1:7" x14ac:dyDescent="0.25">
      <c r="A276" s="1">
        <v>43470</v>
      </c>
      <c r="B276" s="2">
        <v>0.41666666666666502</v>
      </c>
      <c r="C276" t="s">
        <v>7</v>
      </c>
      <c r="D276">
        <v>610.99634719772303</v>
      </c>
      <c r="E276">
        <f t="shared" ca="1" si="13"/>
        <v>98.62470927397203</v>
      </c>
      <c r="F276">
        <f t="shared" ca="1" si="14"/>
        <v>4.4837525099974336</v>
      </c>
      <c r="G276" s="1" t="str">
        <f t="shared" ca="1" si="12"/>
        <v>INSERT INTO tableRegionAnimalTest VALUES (' 2019-01-05 ',' 10:00 ', 'Macan', '610.996347197723', '98.624709273972', '4.48375250999743');</v>
      </c>
    </row>
    <row r="277" spans="1:7" x14ac:dyDescent="0.25">
      <c r="A277" s="1">
        <v>43470</v>
      </c>
      <c r="B277" s="2">
        <v>0.45833333333333198</v>
      </c>
      <c r="C277" t="s">
        <v>7</v>
      </c>
      <c r="D277">
        <v>654.66761061993691</v>
      </c>
      <c r="E277">
        <f t="shared" ca="1" si="13"/>
        <v>98.879658496444321</v>
      </c>
      <c r="F277">
        <f t="shared" ca="1" si="14"/>
        <v>3.7348613673130666</v>
      </c>
      <c r="G277" s="1" t="str">
        <f t="shared" ca="1" si="12"/>
        <v>INSERT INTO tableRegionAnimalTest VALUES (' 2019-01-05 ',' 11:00 ', 'Macan', '654.667610619937', '98.8796584964443', '3.73486136731307');</v>
      </c>
    </row>
    <row r="278" spans="1:7" x14ac:dyDescent="0.25">
      <c r="A278" s="1">
        <v>43470</v>
      </c>
      <c r="B278" s="2">
        <v>0.499999999999999</v>
      </c>
      <c r="C278" t="s">
        <v>7</v>
      </c>
      <c r="D278">
        <v>706.56206889809141</v>
      </c>
      <c r="E278">
        <f t="shared" ca="1" si="13"/>
        <v>97.962015714763808</v>
      </c>
      <c r="F278">
        <f t="shared" ca="1" si="14"/>
        <v>4.0539059580234484</v>
      </c>
      <c r="G278" s="1" t="str">
        <f t="shared" ca="1" si="12"/>
        <v>INSERT INTO tableRegionAnimalTest VALUES (' 2019-01-05 ',' 12:00 ', 'Macan', '706.562068898091', '97.9620157147638', '4.05390595802345');</v>
      </c>
    </row>
    <row r="279" spans="1:7" x14ac:dyDescent="0.25">
      <c r="A279" s="1">
        <v>43470</v>
      </c>
      <c r="B279" s="2">
        <v>0.54166666666666596</v>
      </c>
      <c r="C279" t="s">
        <v>7</v>
      </c>
      <c r="D279">
        <v>701.46455557899367</v>
      </c>
      <c r="E279">
        <f t="shared" ca="1" si="13"/>
        <v>98.073919521326218</v>
      </c>
      <c r="F279">
        <f t="shared" ca="1" si="14"/>
        <v>4.2746770276369972</v>
      </c>
      <c r="G279" s="1" t="str">
        <f t="shared" ca="1" si="12"/>
        <v>INSERT INTO tableRegionAnimalTest VALUES (' 2019-01-05 ',' 13:00 ', 'Macan', '701.464555578994', '98.0739195213262', '4.274677027637');</v>
      </c>
    </row>
    <row r="280" spans="1:7" x14ac:dyDescent="0.25">
      <c r="A280" s="1">
        <v>43470</v>
      </c>
      <c r="B280" s="2">
        <v>0.58333333333333204</v>
      </c>
      <c r="C280" t="s">
        <v>7</v>
      </c>
      <c r="D280">
        <v>776.80794107740121</v>
      </c>
      <c r="E280">
        <f t="shared" ca="1" si="13"/>
        <v>98.986805345066045</v>
      </c>
      <c r="F280">
        <f t="shared" ca="1" si="14"/>
        <v>4.6460424857660527</v>
      </c>
      <c r="G280" s="1" t="str">
        <f t="shared" ca="1" si="12"/>
        <v>INSERT INTO tableRegionAnimalTest VALUES (' 2019-01-05 ',' 14:00 ', 'Macan', '776.807941077401', '98.986805345066', '4.64604248576605');</v>
      </c>
    </row>
    <row r="281" spans="1:7" x14ac:dyDescent="0.25">
      <c r="A281" s="1">
        <v>43470</v>
      </c>
      <c r="B281" s="2">
        <v>0.624999999999999</v>
      </c>
      <c r="C281" t="s">
        <v>7</v>
      </c>
      <c r="D281">
        <v>835.25514207689025</v>
      </c>
      <c r="E281">
        <f t="shared" ca="1" si="13"/>
        <v>98.494292945405462</v>
      </c>
      <c r="F281">
        <f t="shared" ca="1" si="14"/>
        <v>5.1609380887699903</v>
      </c>
      <c r="G281" s="1" t="str">
        <f t="shared" ca="1" si="12"/>
        <v>INSERT INTO tableRegionAnimalTest VALUES (' 2019-01-05 ',' 15:00 ', 'Macan', '835.25514207689', '98.4942929454055', '5.16093808876999');</v>
      </c>
    </row>
    <row r="282" spans="1:7" x14ac:dyDescent="0.25">
      <c r="A282" s="1">
        <v>43470</v>
      </c>
      <c r="B282" s="2">
        <v>0.66666666666666596</v>
      </c>
      <c r="C282" t="s">
        <v>7</v>
      </c>
      <c r="D282">
        <v>821.65894859028413</v>
      </c>
      <c r="E282">
        <f t="shared" ca="1" si="13"/>
        <v>97.936125992868654</v>
      </c>
      <c r="F282">
        <f t="shared" ca="1" si="14"/>
        <v>4.5027355607105193</v>
      </c>
      <c r="G282" s="1" t="str">
        <f t="shared" ca="1" si="12"/>
        <v>INSERT INTO tableRegionAnimalTest VALUES (' 2019-01-05 ',' 16:00 ', 'Macan', '821.658948590284', '97.9361259928687', '4.50273556071052');</v>
      </c>
    </row>
    <row r="283" spans="1:7" x14ac:dyDescent="0.25">
      <c r="A283" s="1">
        <v>43470</v>
      </c>
      <c r="B283" s="2">
        <v>0.70833333333333304</v>
      </c>
      <c r="C283" t="s">
        <v>7</v>
      </c>
      <c r="D283">
        <v>806.48225430592151</v>
      </c>
      <c r="E283">
        <f t="shared" ca="1" si="13"/>
        <v>98.362686504726966</v>
      </c>
      <c r="F283">
        <f t="shared" ca="1" si="14"/>
        <v>3.904301698356123</v>
      </c>
      <c r="G283" s="1" t="str">
        <f t="shared" ca="1" si="12"/>
        <v>INSERT INTO tableRegionAnimalTest VALUES (' 2019-01-05 ',' 17:00 ', 'Macan', '806.482254305922', '98.362686504727', '3.90430169835612');</v>
      </c>
    </row>
    <row r="284" spans="1:7" x14ac:dyDescent="0.25">
      <c r="A284" s="1">
        <v>43470</v>
      </c>
      <c r="B284" s="2">
        <v>0.749999999999999</v>
      </c>
      <c r="C284" t="s">
        <v>7</v>
      </c>
      <c r="D284">
        <v>812.16594998351093</v>
      </c>
      <c r="E284">
        <f t="shared" ca="1" si="13"/>
        <v>97.708478308028134</v>
      </c>
      <c r="F284">
        <f t="shared" ca="1" si="14"/>
        <v>3.3491470174493037</v>
      </c>
      <c r="G284" s="1" t="str">
        <f t="shared" ca="1" si="12"/>
        <v>INSERT INTO tableRegionAnimalTest VALUES (' 2019-01-05 ',' 18:00 ', 'Macan', '812.165949983511', '97.7084783080281', '3.3491470174493');</v>
      </c>
    </row>
    <row r="285" spans="1:7" x14ac:dyDescent="0.25">
      <c r="A285" s="1">
        <v>43470</v>
      </c>
      <c r="B285" s="2">
        <v>0.79166666666666596</v>
      </c>
      <c r="C285" t="s">
        <v>7</v>
      </c>
      <c r="D285">
        <v>778.0558599901558</v>
      </c>
      <c r="E285">
        <f t="shared" ca="1" si="13"/>
        <v>96.752259621399205</v>
      </c>
      <c r="F285">
        <f t="shared" ca="1" si="14"/>
        <v>2.4402755406777619</v>
      </c>
      <c r="G285" s="1" t="str">
        <f t="shared" ca="1" si="12"/>
        <v>INSERT INTO tableRegionAnimalTest VALUES (' 2019-01-05 ',' 19:00 ', 'Macan', '778.055859990156', '96.7522596213992', '2.44027554067776');</v>
      </c>
    </row>
    <row r="286" spans="1:7" x14ac:dyDescent="0.25">
      <c r="A286" s="1">
        <v>43470</v>
      </c>
      <c r="B286" s="2">
        <v>0.83333333333333304</v>
      </c>
      <c r="C286" t="s">
        <v>7</v>
      </c>
      <c r="D286">
        <v>743.81793407954081</v>
      </c>
      <c r="E286">
        <f t="shared" ca="1" si="13"/>
        <v>97.635527195488677</v>
      </c>
      <c r="F286">
        <f t="shared" ca="1" si="14"/>
        <v>3.1444567561892725</v>
      </c>
      <c r="G286" s="1" t="str">
        <f t="shared" ca="1" si="12"/>
        <v>INSERT INTO tableRegionAnimalTest VALUES (' 2019-01-05 ',' 20:00 ', 'Macan', '743.817934079541', '97.6355271954887', '3.14445675618927');</v>
      </c>
    </row>
    <row r="287" spans="1:7" x14ac:dyDescent="0.25">
      <c r="A287" s="1">
        <v>43470</v>
      </c>
      <c r="B287" s="2">
        <v>0.875</v>
      </c>
      <c r="C287" t="s">
        <v>7</v>
      </c>
      <c r="D287">
        <v>714.19023161052576</v>
      </c>
      <c r="E287">
        <f t="shared" ca="1" si="13"/>
        <v>97.862864419841088</v>
      </c>
      <c r="F287">
        <f t="shared" ca="1" si="14"/>
        <v>3.8160396495052518</v>
      </c>
      <c r="G287" s="1" t="str">
        <f t="shared" ca="1" si="12"/>
        <v>INSERT INTO tableRegionAnimalTest VALUES (' 2019-01-05 ',' 21:00 ', 'Macan', '714.190231610526', '97.8628644198411', '3.81603964950525');</v>
      </c>
    </row>
    <row r="288" spans="1:7" x14ac:dyDescent="0.25">
      <c r="A288" s="1">
        <v>43470</v>
      </c>
      <c r="B288" s="2">
        <v>0.91666666666666663</v>
      </c>
      <c r="C288" t="s">
        <v>7</v>
      </c>
      <c r="D288">
        <v>711.85812119967693</v>
      </c>
      <c r="E288">
        <f t="shared" ca="1" si="13"/>
        <v>98.688491664920733</v>
      </c>
      <c r="F288">
        <f t="shared" ca="1" si="14"/>
        <v>3.6437087701239919</v>
      </c>
      <c r="G288" s="1" t="str">
        <f t="shared" ca="1" si="12"/>
        <v>INSERT INTO tableRegionAnimalTest VALUES (' 2019-01-05 ',' 22:00 ', 'Macan', '711.858121199677', '98.6884916649207', '3.64370877012399');</v>
      </c>
    </row>
    <row r="289" spans="1:7" x14ac:dyDescent="0.25">
      <c r="A289" s="1">
        <v>43470</v>
      </c>
      <c r="B289" s="2">
        <v>0.95833333333333337</v>
      </c>
      <c r="C289" t="s">
        <v>7</v>
      </c>
      <c r="D289">
        <v>630.03438785164212</v>
      </c>
      <c r="E289">
        <f t="shared" ca="1" si="13"/>
        <v>99.401807660661106</v>
      </c>
      <c r="F289">
        <f t="shared" ca="1" si="14"/>
        <v>3.1065906230263236</v>
      </c>
      <c r="G289" s="1" t="str">
        <f t="shared" ca="1" si="12"/>
        <v>INSERT INTO tableRegionAnimalTest VALUES (' 2019-01-05 ',' 23:00 ', 'Macan', '630.034387851642', '99.4018076606611', '3.10659062302632');</v>
      </c>
    </row>
    <row r="290" spans="1:7" x14ac:dyDescent="0.25">
      <c r="A290" s="1">
        <v>43471</v>
      </c>
      <c r="B290" s="2">
        <v>0</v>
      </c>
      <c r="C290" t="s">
        <v>7</v>
      </c>
      <c r="D290">
        <v>559.56389156242949</v>
      </c>
      <c r="E290">
        <f t="shared" ca="1" si="13"/>
        <v>99.195984872765649</v>
      </c>
      <c r="F290">
        <f t="shared" ca="1" si="14"/>
        <v>4.0305742446375028</v>
      </c>
      <c r="G290" s="1" t="str">
        <f t="shared" ca="1" si="12"/>
        <v>INSERT INTO tableRegionAnimalTest VALUES (' 2019-01-06 ',' 00:00 ', 'Macan', '559.563891562429', '99.1959848727656', '4.0305742446375');</v>
      </c>
    </row>
    <row r="291" spans="1:7" x14ac:dyDescent="0.25">
      <c r="A291" s="1">
        <v>43471</v>
      </c>
      <c r="B291" s="2">
        <v>4.1666666666665401E-2</v>
      </c>
      <c r="C291" t="s">
        <v>7</v>
      </c>
      <c r="D291">
        <v>517.18752859281165</v>
      </c>
      <c r="E291">
        <f t="shared" ca="1" si="13"/>
        <v>98.288732982149611</v>
      </c>
      <c r="F291">
        <f t="shared" ca="1" si="14"/>
        <v>3.0404072785401235</v>
      </c>
      <c r="G291" s="1" t="str">
        <f t="shared" ca="1" si="12"/>
        <v>INSERT INTO tableRegionAnimalTest VALUES (' 2019-01-06 ',' 01:00 ', 'Macan', '517.187528592812', '98.2887329821496', '3.04040727854012');</v>
      </c>
    </row>
    <row r="292" spans="1:7" x14ac:dyDescent="0.25">
      <c r="A292" s="1">
        <v>43471</v>
      </c>
      <c r="B292" s="2">
        <v>8.33333333333314E-2</v>
      </c>
      <c r="C292" t="s">
        <v>7</v>
      </c>
      <c r="D292">
        <v>467.35593898043822</v>
      </c>
      <c r="E292">
        <f t="shared" ca="1" si="13"/>
        <v>97.648266055714203</v>
      </c>
      <c r="F292">
        <f t="shared" ca="1" si="14"/>
        <v>3.5144944333651598</v>
      </c>
      <c r="G292" s="1" t="str">
        <f t="shared" ca="1" si="12"/>
        <v>INSERT INTO tableRegionAnimalTest VALUES (' 2019-01-06 ',' 02:00 ', 'Macan', '467.355938980438', '97.6482660557142', '3.51449443336516');</v>
      </c>
    </row>
    <row r="293" spans="1:7" x14ac:dyDescent="0.25">
      <c r="A293" s="1">
        <v>43471</v>
      </c>
      <c r="B293" s="2">
        <v>0.124999999999998</v>
      </c>
      <c r="C293" t="s">
        <v>7</v>
      </c>
      <c r="D293">
        <v>476.76828555697409</v>
      </c>
      <c r="E293">
        <f t="shared" ca="1" si="13"/>
        <v>98.075255992679431</v>
      </c>
      <c r="F293">
        <f t="shared" ca="1" si="14"/>
        <v>3.7331305137126174</v>
      </c>
      <c r="G293" s="1" t="str">
        <f t="shared" ca="1" si="12"/>
        <v>INSERT INTO tableRegionAnimalTest VALUES (' 2019-01-06 ',' 03:00 ', 'Macan', '476.768285556974', '98.0752559926794', '3.73313051371262');</v>
      </c>
    </row>
    <row r="294" spans="1:7" x14ac:dyDescent="0.25">
      <c r="A294" s="1">
        <v>43471</v>
      </c>
      <c r="B294" s="2">
        <v>0.16666666666666499</v>
      </c>
      <c r="C294" t="s">
        <v>7</v>
      </c>
      <c r="D294">
        <v>404.76800888910026</v>
      </c>
      <c r="E294">
        <f t="shared" ca="1" si="13"/>
        <v>97.499026703806479</v>
      </c>
      <c r="F294">
        <f t="shared" ca="1" si="14"/>
        <v>4.5550673728570459</v>
      </c>
      <c r="G294" s="1" t="str">
        <f t="shared" ca="1" si="12"/>
        <v>INSERT INTO tableRegionAnimalTest VALUES (' 2019-01-06 ',' 04:00 ', 'Macan', '404.7680088891', '97.4990267038065', '4.55506737285705');</v>
      </c>
    </row>
    <row r="295" spans="1:7" x14ac:dyDescent="0.25">
      <c r="A295" s="1">
        <v>43471</v>
      </c>
      <c r="B295" s="2">
        <v>0.20833333333333201</v>
      </c>
      <c r="C295" t="s">
        <v>7</v>
      </c>
      <c r="D295">
        <v>428.30081551977679</v>
      </c>
      <c r="E295">
        <f t="shared" ca="1" si="13"/>
        <v>96.859152432103656</v>
      </c>
      <c r="F295">
        <f t="shared" ca="1" si="14"/>
        <v>4.5342848765798651</v>
      </c>
      <c r="G295" s="1" t="str">
        <f t="shared" ca="1" si="12"/>
        <v>INSERT INTO tableRegionAnimalTest VALUES (' 2019-01-06 ',' 05:00 ', 'Macan', '428.300815519777', '96.8591524321037', '4.53428487657987');</v>
      </c>
    </row>
    <row r="296" spans="1:7" x14ac:dyDescent="0.25">
      <c r="A296" s="1">
        <v>43471</v>
      </c>
      <c r="B296" s="2">
        <v>0.249999999999998</v>
      </c>
      <c r="C296" t="s">
        <v>7</v>
      </c>
      <c r="D296">
        <v>411.30603108580073</v>
      </c>
      <c r="E296">
        <f t="shared" ca="1" si="13"/>
        <v>97.361322993479178</v>
      </c>
      <c r="F296">
        <f t="shared" ca="1" si="14"/>
        <v>4.339574560695886</v>
      </c>
      <c r="G296" s="1" t="str">
        <f t="shared" ca="1" si="12"/>
        <v>INSERT INTO tableRegionAnimalTest VALUES (' 2019-01-06 ',' 06:00 ', 'Macan', '411.306031085801', '97.3613229934792', '4.33957456069589');</v>
      </c>
    </row>
    <row r="297" spans="1:7" x14ac:dyDescent="0.25">
      <c r="A297" s="1">
        <v>43471</v>
      </c>
      <c r="B297" s="2">
        <v>0.29166666666666502</v>
      </c>
      <c r="C297" t="s">
        <v>7</v>
      </c>
      <c r="D297">
        <v>470.14719418179624</v>
      </c>
      <c r="E297">
        <f t="shared" ca="1" si="13"/>
        <v>97.154029707657344</v>
      </c>
      <c r="F297">
        <f t="shared" ca="1" si="14"/>
        <v>5.0918251559841856</v>
      </c>
      <c r="G297" s="1" t="str">
        <f t="shared" ca="1" si="12"/>
        <v>INSERT INTO tableRegionAnimalTest VALUES (' 2019-01-06 ',' 07:00 ', 'Macan', '470.147194181796', '97.1540297076573', '5.09182515598419');</v>
      </c>
    </row>
    <row r="298" spans="1:7" x14ac:dyDescent="0.25">
      <c r="A298" s="1">
        <v>43471</v>
      </c>
      <c r="B298" s="2">
        <v>0.33333333333333198</v>
      </c>
      <c r="C298" t="s">
        <v>7</v>
      </c>
      <c r="D298">
        <v>473.55590059873776</v>
      </c>
      <c r="E298">
        <f t="shared" ca="1" si="13"/>
        <v>96.321671821866019</v>
      </c>
      <c r="F298">
        <f t="shared" ca="1" si="14"/>
        <v>4.512649614819515</v>
      </c>
      <c r="G298" s="1" t="str">
        <f t="shared" ca="1" si="12"/>
        <v>INSERT INTO tableRegionAnimalTest VALUES (' 2019-01-06 ',' 08:00 ', 'Macan', '473.555900598738', '96.321671821866', '4.51264961481951');</v>
      </c>
    </row>
    <row r="299" spans="1:7" x14ac:dyDescent="0.25">
      <c r="A299" s="1">
        <v>43471</v>
      </c>
      <c r="B299" s="2">
        <v>0.374999999999999</v>
      </c>
      <c r="C299" t="s">
        <v>7</v>
      </c>
      <c r="D299">
        <v>523.35937676920878</v>
      </c>
      <c r="E299">
        <f t="shared" ca="1" si="13"/>
        <v>97.231814510714173</v>
      </c>
      <c r="F299">
        <f t="shared" ca="1" si="14"/>
        <v>4.246459681586888</v>
      </c>
      <c r="G299" s="1" t="str">
        <f t="shared" ca="1" si="12"/>
        <v>INSERT INTO tableRegionAnimalTest VALUES (' 2019-01-06 ',' 09:00 ', 'Macan', '523.359376769209', '97.2318145107142', '4.24645968158689');</v>
      </c>
    </row>
    <row r="300" spans="1:7" x14ac:dyDescent="0.25">
      <c r="A300" s="1">
        <v>43471</v>
      </c>
      <c r="B300" s="2">
        <v>0.41666666666666502</v>
      </c>
      <c r="C300" t="s">
        <v>7</v>
      </c>
      <c r="D300">
        <v>592.16870654327511</v>
      </c>
      <c r="E300">
        <f t="shared" ca="1" si="13"/>
        <v>96.29854893884</v>
      </c>
      <c r="F300">
        <f t="shared" ca="1" si="14"/>
        <v>4.5656956043995303</v>
      </c>
      <c r="G300" s="1" t="str">
        <f t="shared" ca="1" si="12"/>
        <v>INSERT INTO tableRegionAnimalTest VALUES (' 2019-01-06 ',' 10:00 ', 'Macan', '592.168706543275', '96.29854893884', '4.56569560439953');</v>
      </c>
    </row>
    <row r="301" spans="1:7" x14ac:dyDescent="0.25">
      <c r="A301" s="1">
        <v>43471</v>
      </c>
      <c r="B301" s="2">
        <v>0.45833333333333198</v>
      </c>
      <c r="C301" t="s">
        <v>7</v>
      </c>
      <c r="D301">
        <v>601.05461145188929</v>
      </c>
      <c r="E301">
        <f t="shared" ca="1" si="13"/>
        <v>95.728169305803561</v>
      </c>
      <c r="F301">
        <f t="shared" ca="1" si="14"/>
        <v>5.4549987925209269</v>
      </c>
      <c r="G301" s="1" t="str">
        <f t="shared" ca="1" si="12"/>
        <v>INSERT INTO tableRegionAnimalTest VALUES (' 2019-01-06 ',' 11:00 ', 'Macan', '601.054611451889', '95.7281693058036', '5.45499879252093');</v>
      </c>
    </row>
    <row r="302" spans="1:7" x14ac:dyDescent="0.25">
      <c r="A302" s="1">
        <v>43471</v>
      </c>
      <c r="B302" s="2">
        <v>0.499999999999999</v>
      </c>
      <c r="C302" t="s">
        <v>7</v>
      </c>
      <c r="D302">
        <v>701.36508014208061</v>
      </c>
      <c r="E302">
        <f t="shared" ca="1" si="13"/>
        <v>95.014505323777684</v>
      </c>
      <c r="F302">
        <f t="shared" ca="1" si="14"/>
        <v>5.3062923198054195</v>
      </c>
      <c r="G302" s="1" t="str">
        <f t="shared" ca="1" si="12"/>
        <v>INSERT INTO tableRegionAnimalTest VALUES (' 2019-01-06 ',' 12:00 ', 'Macan', '701.365080142081', '95.0145053237777', '5.30629231980542');</v>
      </c>
    </row>
    <row r="303" spans="1:7" x14ac:dyDescent="0.25">
      <c r="A303" s="1">
        <v>43471</v>
      </c>
      <c r="B303" s="2">
        <v>0.54166666666666596</v>
      </c>
      <c r="C303" t="s">
        <v>7</v>
      </c>
      <c r="D303">
        <v>755.34986487896788</v>
      </c>
      <c r="E303">
        <f t="shared" ca="1" si="13"/>
        <v>95.245695083031407</v>
      </c>
      <c r="F303">
        <f t="shared" ca="1" si="14"/>
        <v>4.5340518253637612</v>
      </c>
      <c r="G303" s="1" t="str">
        <f t="shared" ca="1" si="12"/>
        <v>INSERT INTO tableRegionAnimalTest VALUES (' 2019-01-06 ',' 13:00 ', 'Macan', '755.349864878968', '95.2456950830314', '4.53405182536376');</v>
      </c>
    </row>
    <row r="304" spans="1:7" x14ac:dyDescent="0.25">
      <c r="A304" s="1">
        <v>43471</v>
      </c>
      <c r="B304" s="2">
        <v>0.58333333333333204</v>
      </c>
      <c r="C304" t="s">
        <v>7</v>
      </c>
      <c r="D304">
        <v>749.34789273086722</v>
      </c>
      <c r="E304">
        <f t="shared" ca="1" si="13"/>
        <v>95.725458269526854</v>
      </c>
      <c r="F304">
        <f t="shared" ca="1" si="14"/>
        <v>5.1283111246732487</v>
      </c>
      <c r="G304" s="1" t="str">
        <f t="shared" ca="1" si="12"/>
        <v>INSERT INTO tableRegionAnimalTest VALUES (' 2019-01-06 ',' 14:00 ', 'Macan', '749.347892730867', '95.7254582695269', '5.12831112467325');</v>
      </c>
    </row>
    <row r="305" spans="1:7" x14ac:dyDescent="0.25">
      <c r="A305" s="1">
        <v>43471</v>
      </c>
      <c r="B305" s="2">
        <v>0.624999999999999</v>
      </c>
      <c r="C305" t="s">
        <v>7</v>
      </c>
      <c r="D305">
        <v>817.22627441495263</v>
      </c>
      <c r="E305">
        <f t="shared" ca="1" si="13"/>
        <v>95.806258836764826</v>
      </c>
      <c r="F305">
        <f t="shared" ca="1" si="14"/>
        <v>4.3293857287493127</v>
      </c>
      <c r="G305" s="1" t="str">
        <f t="shared" ca="1" si="12"/>
        <v>INSERT INTO tableRegionAnimalTest VALUES (' 2019-01-06 ',' 15:00 ', 'Macan', '817.226274414953', '95.8062588367648', '4.32938572874931');</v>
      </c>
    </row>
    <row r="306" spans="1:7" x14ac:dyDescent="0.25">
      <c r="A306" s="1">
        <v>43471</v>
      </c>
      <c r="B306" s="2">
        <v>0.66666666666666596</v>
      </c>
      <c r="C306" t="s">
        <v>7</v>
      </c>
      <c r="D306">
        <v>798.85442153214035</v>
      </c>
      <c r="E306">
        <f t="shared" ca="1" si="13"/>
        <v>95.959822678052916</v>
      </c>
      <c r="F306">
        <f t="shared" ca="1" si="14"/>
        <v>4.2984922436388837</v>
      </c>
      <c r="G306" s="1" t="str">
        <f t="shared" ca="1" si="12"/>
        <v>INSERT INTO tableRegionAnimalTest VALUES (' 2019-01-06 ',' 16:00 ', 'Macan', '798.85442153214', '95.9598226780529', '4.29849224363888');</v>
      </c>
    </row>
    <row r="307" spans="1:7" x14ac:dyDescent="0.25">
      <c r="A307" s="1">
        <v>43471</v>
      </c>
      <c r="B307" s="2">
        <v>0.70833333333333304</v>
      </c>
      <c r="C307" t="s">
        <v>7</v>
      </c>
      <c r="D307">
        <v>831.12830778459579</v>
      </c>
      <c r="E307">
        <f t="shared" ca="1" si="13"/>
        <v>95.061739454633013</v>
      </c>
      <c r="F307">
        <f t="shared" ca="1" si="14"/>
        <v>4.2757690192625732</v>
      </c>
      <c r="G307" s="1" t="str">
        <f t="shared" ca="1" si="12"/>
        <v>INSERT INTO tableRegionAnimalTest VALUES (' 2019-01-06 ',' 17:00 ', 'Macan', '831.128307784596', '95.061739454633', '4.27576901926257');</v>
      </c>
    </row>
    <row r="308" spans="1:7" x14ac:dyDescent="0.25">
      <c r="A308" s="1">
        <v>43471</v>
      </c>
      <c r="B308" s="2">
        <v>0.749999999999999</v>
      </c>
      <c r="C308" t="s">
        <v>7</v>
      </c>
      <c r="D308">
        <v>830.95135014476978</v>
      </c>
      <c r="E308">
        <f t="shared" ca="1" si="13"/>
        <v>94.378962768619289</v>
      </c>
      <c r="F308">
        <f t="shared" ca="1" si="14"/>
        <v>3.3490018560421415</v>
      </c>
      <c r="G308" s="1" t="str">
        <f t="shared" ca="1" si="12"/>
        <v>INSERT INTO tableRegionAnimalTest VALUES (' 2019-01-06 ',' 18:00 ', 'Macan', '830.95135014477', '94.3789627686193', '3.34900185604214');</v>
      </c>
    </row>
    <row r="309" spans="1:7" x14ac:dyDescent="0.25">
      <c r="A309" s="1">
        <v>43471</v>
      </c>
      <c r="B309" s="2">
        <v>0.79166666666666596</v>
      </c>
      <c r="C309" t="s">
        <v>7</v>
      </c>
      <c r="D309">
        <v>793.68816055164041</v>
      </c>
      <c r="E309">
        <f t="shared" ca="1" si="13"/>
        <v>94.191259896684443</v>
      </c>
      <c r="F309">
        <f t="shared" ca="1" si="14"/>
        <v>3.4197712454126807</v>
      </c>
      <c r="G309" s="1" t="str">
        <f t="shared" ca="1" si="12"/>
        <v>INSERT INTO tableRegionAnimalTest VALUES (' 2019-01-06 ',' 19:00 ', 'Macan', '793.68816055164', '94.1912598966844', '3.41977124541268');</v>
      </c>
    </row>
    <row r="310" spans="1:7" x14ac:dyDescent="0.25">
      <c r="A310" s="1">
        <v>43471</v>
      </c>
      <c r="B310" s="2">
        <v>0.83333333333333304</v>
      </c>
      <c r="C310" t="s">
        <v>7</v>
      </c>
      <c r="D310">
        <v>767.18563657645939</v>
      </c>
      <c r="E310">
        <f t="shared" ca="1" si="13"/>
        <v>94.957039064920394</v>
      </c>
      <c r="F310">
        <f t="shared" ca="1" si="14"/>
        <v>4.1046003886230178</v>
      </c>
      <c r="G310" s="1" t="str">
        <f t="shared" ca="1" si="12"/>
        <v>INSERT INTO tableRegionAnimalTest VALUES (' 2019-01-06 ',' 20:00 ', 'Macan', '767.185636576459', '94.9570390649204', '4.10460038862302');</v>
      </c>
    </row>
    <row r="311" spans="1:7" x14ac:dyDescent="0.25">
      <c r="A311" s="1">
        <v>43471</v>
      </c>
      <c r="B311" s="2">
        <v>0.875</v>
      </c>
      <c r="C311" t="s">
        <v>7</v>
      </c>
      <c r="D311">
        <v>714.26132439921537</v>
      </c>
      <c r="E311">
        <f t="shared" ca="1" si="13"/>
        <v>95.939667348545882</v>
      </c>
      <c r="F311">
        <f t="shared" ca="1" si="14"/>
        <v>3.2934236516149493</v>
      </c>
      <c r="G311" s="1" t="str">
        <f t="shared" ca="1" si="12"/>
        <v>INSERT INTO tableRegionAnimalTest VALUES (' 2019-01-06 ',' 21:00 ', 'Macan', '714.261324399215', '95.9396673485459', '3.29342365161495');</v>
      </c>
    </row>
    <row r="312" spans="1:7" x14ac:dyDescent="0.25">
      <c r="A312" s="1">
        <v>43471</v>
      </c>
      <c r="B312" s="2">
        <v>0.91666666666666663</v>
      </c>
      <c r="C312" t="s">
        <v>7</v>
      </c>
      <c r="D312">
        <v>650.03834450883448</v>
      </c>
      <c r="E312">
        <f t="shared" ca="1" si="13"/>
        <v>95.566524538677996</v>
      </c>
      <c r="F312">
        <f t="shared" ca="1" si="14"/>
        <v>2.4491442576131641</v>
      </c>
      <c r="G312" s="1" t="str">
        <f t="shared" ca="1" si="12"/>
        <v>INSERT INTO tableRegionAnimalTest VALUES (' 2019-01-06 ',' 22:00 ', 'Macan', '650.038344508834', '95.566524538678', '2.44914425761316');</v>
      </c>
    </row>
    <row r="313" spans="1:7" x14ac:dyDescent="0.25">
      <c r="A313" s="1">
        <v>43471</v>
      </c>
      <c r="B313" s="2">
        <v>0.95833333333333337</v>
      </c>
      <c r="C313" t="s">
        <v>7</v>
      </c>
      <c r="D313">
        <v>649.13335219472742</v>
      </c>
      <c r="E313">
        <f t="shared" ca="1" si="13"/>
        <v>96.309338046421217</v>
      </c>
      <c r="F313">
        <f t="shared" ca="1" si="14"/>
        <v>1.5459434577331623</v>
      </c>
      <c r="G313" s="1" t="str">
        <f t="shared" ca="1" si="12"/>
        <v>INSERT INTO tableRegionAnimalTest VALUES (' 2019-01-06 ',' 23:00 ', 'Macan', '649.133352194727', '96.3093380464212', '1.54594345773316');</v>
      </c>
    </row>
    <row r="314" spans="1:7" x14ac:dyDescent="0.25">
      <c r="A314" s="1">
        <v>43472</v>
      </c>
      <c r="B314" s="2">
        <v>0</v>
      </c>
      <c r="C314" t="s">
        <v>7</v>
      </c>
      <c r="D314">
        <v>597.48954842360263</v>
      </c>
      <c r="E314">
        <f t="shared" ca="1" si="13"/>
        <v>96.00374065941763</v>
      </c>
      <c r="F314">
        <f t="shared" ca="1" si="14"/>
        <v>2.3976989319954787</v>
      </c>
      <c r="G314" s="1" t="str">
        <f t="shared" ca="1" si="12"/>
        <v>INSERT INTO tableRegionAnimalTest VALUES (' 2019-01-07 ',' 00:00 ', 'Macan', '597.489548423603', '96.0037406594176', '2.39769893199548');</v>
      </c>
    </row>
    <row r="315" spans="1:7" x14ac:dyDescent="0.25">
      <c r="A315" s="1">
        <v>43472</v>
      </c>
      <c r="B315" s="2">
        <v>4.1666666666665401E-2</v>
      </c>
      <c r="C315" t="s">
        <v>7</v>
      </c>
      <c r="D315">
        <v>543.26542484801871</v>
      </c>
      <c r="E315">
        <f t="shared" ca="1" si="13"/>
        <v>96.316987199989327</v>
      </c>
      <c r="F315">
        <f t="shared" ca="1" si="14"/>
        <v>2.5487908461718067</v>
      </c>
      <c r="G315" s="1" t="str">
        <f t="shared" ca="1" si="12"/>
        <v>INSERT INTO tableRegionAnimalTest VALUES (' 2019-01-07 ',' 01:00 ', 'Macan', '543.265424848019', '96.3169871999893', '2.54879084617181');</v>
      </c>
    </row>
    <row r="316" spans="1:7" x14ac:dyDescent="0.25">
      <c r="A316" s="1">
        <v>43472</v>
      </c>
      <c r="B316" s="2">
        <v>8.33333333333314E-2</v>
      </c>
      <c r="C316" t="s">
        <v>7</v>
      </c>
      <c r="D316">
        <v>520.73102542101947</v>
      </c>
      <c r="E316">
        <f t="shared" ca="1" si="13"/>
        <v>96.200955654372663</v>
      </c>
      <c r="F316">
        <f t="shared" ca="1" si="14"/>
        <v>2.2039439467323452</v>
      </c>
      <c r="G316" s="1" t="str">
        <f t="shared" ca="1" si="12"/>
        <v>INSERT INTO tableRegionAnimalTest VALUES (' 2019-01-07 ',' 02:00 ', 'Macan', '520.731025421019', '96.2009556543727', '2.20394394673235');</v>
      </c>
    </row>
    <row r="317" spans="1:7" x14ac:dyDescent="0.25">
      <c r="A317" s="1">
        <v>43472</v>
      </c>
      <c r="B317" s="2">
        <v>0.124999999999998</v>
      </c>
      <c r="C317" t="s">
        <v>7</v>
      </c>
      <c r="D317">
        <v>437.7768194270638</v>
      </c>
      <c r="E317">
        <f t="shared" ca="1" si="13"/>
        <v>96.655318043912786</v>
      </c>
      <c r="F317">
        <f t="shared" ca="1" si="14"/>
        <v>2.2539740451800099</v>
      </c>
      <c r="G317" s="1" t="str">
        <f t="shared" ca="1" si="12"/>
        <v>INSERT INTO tableRegionAnimalTest VALUES (' 2019-01-07 ',' 03:00 ', 'Macan', '437.776819427064', '96.6553180439128', '2.25397404518001');</v>
      </c>
    </row>
    <row r="318" spans="1:7" x14ac:dyDescent="0.25">
      <c r="A318" s="1">
        <v>43472</v>
      </c>
      <c r="B318" s="2">
        <v>0.16666666666666499</v>
      </c>
      <c r="C318" t="s">
        <v>7</v>
      </c>
      <c r="D318">
        <v>407.15751243888985</v>
      </c>
      <c r="E318">
        <f t="shared" ca="1" si="13"/>
        <v>95.679257011458603</v>
      </c>
      <c r="F318">
        <f t="shared" ca="1" si="14"/>
        <v>2.5324040063380933</v>
      </c>
      <c r="G318" s="1" t="str">
        <f t="shared" ca="1" si="12"/>
        <v>INSERT INTO tableRegionAnimalTest VALUES (' 2019-01-07 ',' 04:00 ', 'Macan', '407.15751243889', '95.6792570114586', '2.53240400633809');</v>
      </c>
    </row>
    <row r="319" spans="1:7" x14ac:dyDescent="0.25">
      <c r="A319" s="1">
        <v>43472</v>
      </c>
      <c r="B319" s="2">
        <v>0.20833333333333201</v>
      </c>
      <c r="C319" t="s">
        <v>7</v>
      </c>
      <c r="D319">
        <v>400.64346623607344</v>
      </c>
      <c r="E319">
        <f t="shared" ca="1" si="13"/>
        <v>94.683886848729159</v>
      </c>
      <c r="F319">
        <f t="shared" ca="1" si="14"/>
        <v>2.1917016155465712</v>
      </c>
      <c r="G319" s="1" t="str">
        <f t="shared" ca="1" si="12"/>
        <v>INSERT INTO tableRegionAnimalTest VALUES (' 2019-01-07 ',' 05:00 ', 'Macan', '400.643466236073', '94.6838868487292', '2.19170161554657');</v>
      </c>
    </row>
    <row r="320" spans="1:7" x14ac:dyDescent="0.25">
      <c r="A320" s="1">
        <v>43472</v>
      </c>
      <c r="B320" s="2">
        <v>0.249999999999998</v>
      </c>
      <c r="C320" t="s">
        <v>7</v>
      </c>
      <c r="D320">
        <v>411.8763943331154</v>
      </c>
      <c r="E320">
        <f t="shared" ca="1" si="13"/>
        <v>95.492150362395748</v>
      </c>
      <c r="F320">
        <f t="shared" ca="1" si="14"/>
        <v>2.9994417002625542</v>
      </c>
      <c r="G320" s="1" t="str">
        <f t="shared" ca="1" si="12"/>
        <v>INSERT INTO tableRegionAnimalTest VALUES (' 2019-01-07 ',' 06:00 ', 'Macan', '411.876394333115', '95.4921503623957', '2.99944170026255');</v>
      </c>
    </row>
    <row r="321" spans="1:7" x14ac:dyDescent="0.25">
      <c r="A321" s="1">
        <v>43472</v>
      </c>
      <c r="B321" s="2">
        <v>0.29166666666666502</v>
      </c>
      <c r="C321" t="s">
        <v>7</v>
      </c>
      <c r="D321">
        <v>442.35751415365172</v>
      </c>
      <c r="E321">
        <f t="shared" ca="1" si="13"/>
        <v>94.706772777281941</v>
      </c>
      <c r="F321">
        <f t="shared" ca="1" si="14"/>
        <v>2.6548017465583329</v>
      </c>
      <c r="G321" s="1" t="str">
        <f t="shared" ca="1" si="12"/>
        <v>INSERT INTO tableRegionAnimalTest VALUES (' 2019-01-07 ',' 07:00 ', 'Macan', '442.357514153652', '94.7067727772819', '2.65480174655833');</v>
      </c>
    </row>
    <row r="322" spans="1:7" x14ac:dyDescent="0.25">
      <c r="A322" s="1">
        <v>43472</v>
      </c>
      <c r="B322" s="2">
        <v>0.33333333333333198</v>
      </c>
      <c r="C322" t="s">
        <v>7</v>
      </c>
      <c r="D322">
        <v>511.22232132477313</v>
      </c>
      <c r="E322">
        <f t="shared" ca="1" si="13"/>
        <v>95.189431401071715</v>
      </c>
      <c r="F322">
        <f t="shared" ca="1" si="14"/>
        <v>3.0423974639231983</v>
      </c>
      <c r="G322" s="1" t="str">
        <f t="shared" ca="1" si="12"/>
        <v>INSERT INTO tableRegionAnimalTest VALUES (' 2019-01-07 ',' 08:00 ', 'Macan', '511.222321324773', '95.1894314010717', '3.0423974639232');</v>
      </c>
    </row>
    <row r="323" spans="1:7" x14ac:dyDescent="0.25">
      <c r="A323" s="1">
        <v>43472</v>
      </c>
      <c r="B323" s="2">
        <v>0.374999999999999</v>
      </c>
      <c r="C323" t="s">
        <v>7</v>
      </c>
      <c r="D323">
        <v>530.68490309585479</v>
      </c>
      <c r="E323">
        <f t="shared" ca="1" si="13"/>
        <v>95.439630658014067</v>
      </c>
      <c r="F323">
        <f t="shared" ca="1" si="14"/>
        <v>2.3427585922380469</v>
      </c>
      <c r="G323" s="1" t="str">
        <f t="shared" ref="G323:G386" ca="1" si="15">"INSERT INTO tableRegionAnimalTest VALUES (' "&amp;TEXT(A323,"yyyy-mm-dd")&amp;" ',' "&amp;TEXT(B323,"hh:mm")&amp;" ', '"&amp;C323&amp;"', '"&amp;D323&amp;"', '"&amp;E323&amp;"', '"&amp;F323&amp;"');"</f>
        <v>INSERT INTO tableRegionAnimalTest VALUES (' 2019-01-07 ',' 09:00 ', 'Macan', '530.684903095855', '95.4396306580141', '2.34275859223805');</v>
      </c>
    </row>
    <row r="324" spans="1:7" x14ac:dyDescent="0.25">
      <c r="A324" s="1">
        <v>43472</v>
      </c>
      <c r="B324" s="2">
        <v>0.41666666666666502</v>
      </c>
      <c r="C324" t="s">
        <v>7</v>
      </c>
      <c r="D324">
        <v>575.2929038577862</v>
      </c>
      <c r="E324">
        <f t="shared" ref="E324:E387" ca="1" si="16">IF(E323&gt;=99, -(RAND()*1)+E323, IF(E323&lt;=81, (RAND()*1) +E323, (RAND()*1)* (RANDBETWEEN(0,1)*2-1) +E323))</f>
        <v>95.492525926481022</v>
      </c>
      <c r="F324">
        <f t="shared" ref="F324:F387" ca="1" si="17">IF(F323&gt;=5, -(RAND()*1)+F323, IF(F323&lt;=1, (RAND()*1) +F323, (RAND()*1)* (RANDBETWEEN(0,1)*2-1) +F323))</f>
        <v>2.476550302532539</v>
      </c>
      <c r="G324" s="1" t="str">
        <f t="shared" ca="1" si="15"/>
        <v>INSERT INTO tableRegionAnimalTest VALUES (' 2019-01-07 ',' 10:00 ', 'Macan', '575.292903857786', '95.492525926481', '2.47655030253254');</v>
      </c>
    </row>
    <row r="325" spans="1:7" x14ac:dyDescent="0.25">
      <c r="A325" s="1">
        <v>43472</v>
      </c>
      <c r="B325" s="2">
        <v>0.45833333333333198</v>
      </c>
      <c r="C325" t="s">
        <v>7</v>
      </c>
      <c r="D325">
        <v>636.17935877426248</v>
      </c>
      <c r="E325">
        <f t="shared" ca="1" si="16"/>
        <v>95.266991870553056</v>
      </c>
      <c r="F325">
        <f t="shared" ca="1" si="17"/>
        <v>1.8331283044604791</v>
      </c>
      <c r="G325" s="1" t="str">
        <f t="shared" ca="1" si="15"/>
        <v>INSERT INTO tableRegionAnimalTest VALUES (' 2019-01-07 ',' 11:00 ', 'Macan', '636.179358774262', '95.2669918705531', '1.83312830446048');</v>
      </c>
    </row>
    <row r="326" spans="1:7" x14ac:dyDescent="0.25">
      <c r="A326" s="1">
        <v>43472</v>
      </c>
      <c r="B326" s="2">
        <v>0.499999999999999</v>
      </c>
      <c r="C326" t="s">
        <v>7</v>
      </c>
      <c r="D326">
        <v>676.67872178881021</v>
      </c>
      <c r="E326">
        <f t="shared" ca="1" si="16"/>
        <v>95.620019357851405</v>
      </c>
      <c r="F326">
        <f t="shared" ca="1" si="17"/>
        <v>1.3294374340908965</v>
      </c>
      <c r="G326" s="1" t="str">
        <f t="shared" ca="1" si="15"/>
        <v>INSERT INTO tableRegionAnimalTest VALUES (' 2019-01-07 ',' 12:00 ', 'Macan', '676.67872178881', '95.6200193578514', '1.3294374340909');</v>
      </c>
    </row>
    <row r="327" spans="1:7" x14ac:dyDescent="0.25">
      <c r="A327" s="1">
        <v>43472</v>
      </c>
      <c r="B327" s="2">
        <v>0.54166666666666596</v>
      </c>
      <c r="C327" t="s">
        <v>7</v>
      </c>
      <c r="D327">
        <v>698.34697042877588</v>
      </c>
      <c r="E327">
        <f t="shared" ca="1" si="16"/>
        <v>95.237415441164131</v>
      </c>
      <c r="F327">
        <f t="shared" ca="1" si="17"/>
        <v>1.6407005420772682</v>
      </c>
      <c r="G327" s="1" t="str">
        <f t="shared" ca="1" si="15"/>
        <v>INSERT INTO tableRegionAnimalTest VALUES (' 2019-01-07 ',' 13:00 ', 'Macan', '698.346970428776', '95.2374154411641', '1.64070054207727');</v>
      </c>
    </row>
    <row r="328" spans="1:7" x14ac:dyDescent="0.25">
      <c r="A328" s="1">
        <v>43472</v>
      </c>
      <c r="B328" s="2">
        <v>0.58333333333333204</v>
      </c>
      <c r="C328" t="s">
        <v>7</v>
      </c>
      <c r="D328">
        <v>789.91352849341547</v>
      </c>
      <c r="E328">
        <f t="shared" ca="1" si="16"/>
        <v>94.8086703732845</v>
      </c>
      <c r="F328">
        <f t="shared" ca="1" si="17"/>
        <v>1.8832525093400099</v>
      </c>
      <c r="G328" s="1" t="str">
        <f t="shared" ca="1" si="15"/>
        <v>INSERT INTO tableRegionAnimalTest VALUES (' 2019-01-07 ',' 14:00 ', 'Macan', '789.913528493415', '94.8086703732845', '1.88325250934001');</v>
      </c>
    </row>
    <row r="329" spans="1:7" x14ac:dyDescent="0.25">
      <c r="A329" s="1">
        <v>43472</v>
      </c>
      <c r="B329" s="2">
        <v>0.624999999999999</v>
      </c>
      <c r="C329" t="s">
        <v>7</v>
      </c>
      <c r="D329">
        <v>800.2787660237683</v>
      </c>
      <c r="E329">
        <f t="shared" ca="1" si="16"/>
        <v>94.778211714207288</v>
      </c>
      <c r="F329">
        <f t="shared" ca="1" si="17"/>
        <v>1.8377346622320305</v>
      </c>
      <c r="G329" s="1" t="str">
        <f t="shared" ca="1" si="15"/>
        <v>INSERT INTO tableRegionAnimalTest VALUES (' 2019-01-07 ',' 15:00 ', 'Macan', '800.278766023768', '94.7782117142073', '1.83773466223203');</v>
      </c>
    </row>
    <row r="330" spans="1:7" x14ac:dyDescent="0.25">
      <c r="A330" s="1">
        <v>43472</v>
      </c>
      <c r="B330" s="2">
        <v>0.66666666666666596</v>
      </c>
      <c r="C330" t="s">
        <v>7</v>
      </c>
      <c r="D330">
        <v>857.40820582709011</v>
      </c>
      <c r="E330">
        <f t="shared" ca="1" si="16"/>
        <v>94.883873060814622</v>
      </c>
      <c r="F330">
        <f t="shared" ca="1" si="17"/>
        <v>1.5500568755564237</v>
      </c>
      <c r="G330" s="1" t="str">
        <f t="shared" ca="1" si="15"/>
        <v>INSERT INTO tableRegionAnimalTest VALUES (' 2019-01-07 ',' 16:00 ', 'Macan', '857.40820582709', '94.8838730608146', '1.55005687555642');</v>
      </c>
    </row>
    <row r="331" spans="1:7" x14ac:dyDescent="0.25">
      <c r="A331" s="1">
        <v>43472</v>
      </c>
      <c r="B331" s="2">
        <v>0.70833333333333304</v>
      </c>
      <c r="C331" t="s">
        <v>7</v>
      </c>
      <c r="D331">
        <v>800.6613483849859</v>
      </c>
      <c r="E331">
        <f t="shared" ca="1" si="16"/>
        <v>94.188174810711715</v>
      </c>
      <c r="F331">
        <f t="shared" ca="1" si="17"/>
        <v>2.1251230389748299</v>
      </c>
      <c r="G331" s="1" t="str">
        <f t="shared" ca="1" si="15"/>
        <v>INSERT INTO tableRegionAnimalTest VALUES (' 2019-01-07 ',' 17:00 ', 'Macan', '800.661348384986', '94.1881748107117', '2.12512303897483');</v>
      </c>
    </row>
    <row r="332" spans="1:7" x14ac:dyDescent="0.25">
      <c r="A332" s="1">
        <v>43472</v>
      </c>
      <c r="B332" s="2">
        <v>0.749999999999999</v>
      </c>
      <c r="C332" t="s">
        <v>7</v>
      </c>
      <c r="D332">
        <v>804.70649661792027</v>
      </c>
      <c r="E332">
        <f t="shared" ca="1" si="16"/>
        <v>93.940759253512695</v>
      </c>
      <c r="F332">
        <f t="shared" ca="1" si="17"/>
        <v>2.1949012394779266</v>
      </c>
      <c r="G332" s="1" t="str">
        <f t="shared" ca="1" si="15"/>
        <v>INSERT INTO tableRegionAnimalTest VALUES (' 2019-01-07 ',' 18:00 ', 'Macan', '804.70649661792', '93.9407592535127', '2.19490123947793');</v>
      </c>
    </row>
    <row r="333" spans="1:7" x14ac:dyDescent="0.25">
      <c r="A333" s="1">
        <v>43472</v>
      </c>
      <c r="B333" s="2">
        <v>0.79166666666666596</v>
      </c>
      <c r="C333" t="s">
        <v>7</v>
      </c>
      <c r="D333">
        <v>822.24650607121475</v>
      </c>
      <c r="E333">
        <f t="shared" ca="1" si="16"/>
        <v>94.08401144593131</v>
      </c>
      <c r="F333">
        <f t="shared" ca="1" si="17"/>
        <v>1.6586168108577071</v>
      </c>
      <c r="G333" s="1" t="str">
        <f t="shared" ca="1" si="15"/>
        <v>INSERT INTO tableRegionAnimalTest VALUES (' 2019-01-07 ',' 19:00 ', 'Macan', '822.246506071215', '94.0840114459313', '1.65861681085771');</v>
      </c>
    </row>
    <row r="334" spans="1:7" x14ac:dyDescent="0.25">
      <c r="A334" s="1">
        <v>43472</v>
      </c>
      <c r="B334" s="2">
        <v>0.83333333333333304</v>
      </c>
      <c r="C334" t="s">
        <v>7</v>
      </c>
      <c r="D334">
        <v>759.21005590907907</v>
      </c>
      <c r="E334">
        <f t="shared" ca="1" si="16"/>
        <v>93.593641797419693</v>
      </c>
      <c r="F334">
        <f t="shared" ca="1" si="17"/>
        <v>1.6448738073035583</v>
      </c>
      <c r="G334" s="1" t="str">
        <f t="shared" ca="1" si="15"/>
        <v>INSERT INTO tableRegionAnimalTest VALUES (' 2019-01-07 ',' 20:00 ', 'Macan', '759.210055909079', '93.5936417974197', '1.64487380730356');</v>
      </c>
    </row>
    <row r="335" spans="1:7" x14ac:dyDescent="0.25">
      <c r="A335" s="1">
        <v>43472</v>
      </c>
      <c r="B335" s="2">
        <v>0.875</v>
      </c>
      <c r="C335" t="s">
        <v>7</v>
      </c>
      <c r="D335">
        <v>748.5938629265537</v>
      </c>
      <c r="E335">
        <f t="shared" ca="1" si="16"/>
        <v>92.960870671789039</v>
      </c>
      <c r="F335">
        <f t="shared" ca="1" si="17"/>
        <v>2.1295812217675461</v>
      </c>
      <c r="G335" s="1" t="str">
        <f t="shared" ca="1" si="15"/>
        <v>INSERT INTO tableRegionAnimalTest VALUES (' 2019-01-07 ',' 21:00 ', 'Macan', '748.593862926554', '92.960870671789', '2.12958122176755');</v>
      </c>
    </row>
    <row r="336" spans="1:7" x14ac:dyDescent="0.25">
      <c r="A336" s="1">
        <v>43472</v>
      </c>
      <c r="B336" s="2">
        <v>0.91666666666666663</v>
      </c>
      <c r="C336" t="s">
        <v>7</v>
      </c>
      <c r="D336">
        <v>672.44452240678322</v>
      </c>
      <c r="E336">
        <f t="shared" ca="1" si="16"/>
        <v>93.69234675003031</v>
      </c>
      <c r="F336">
        <f t="shared" ca="1" si="17"/>
        <v>2.740543300998564</v>
      </c>
      <c r="G336" s="1" t="str">
        <f t="shared" ca="1" si="15"/>
        <v>INSERT INTO tableRegionAnimalTest VALUES (' 2019-01-07 ',' 22:00 ', 'Macan', '672.444522406783', '93.6923467500303', '2.74054330099856');</v>
      </c>
    </row>
    <row r="337" spans="1:7" x14ac:dyDescent="0.25">
      <c r="A337" s="1">
        <v>43472</v>
      </c>
      <c r="B337" s="2">
        <v>0.95833333333333337</v>
      </c>
      <c r="C337" t="s">
        <v>7</v>
      </c>
      <c r="D337">
        <v>621.17295353790985</v>
      </c>
      <c r="E337">
        <f t="shared" ca="1" si="16"/>
        <v>92.839343339398923</v>
      </c>
      <c r="F337">
        <f t="shared" ca="1" si="17"/>
        <v>3.1687681316820662</v>
      </c>
      <c r="G337" s="1" t="str">
        <f t="shared" ca="1" si="15"/>
        <v>INSERT INTO tableRegionAnimalTest VALUES (' 2019-01-07 ',' 23:00 ', 'Macan', '621.17295353791', '92.8393433393989', '3.16876813168207');</v>
      </c>
    </row>
    <row r="338" spans="1:7" x14ac:dyDescent="0.25">
      <c r="A338" s="1">
        <v>43466</v>
      </c>
      <c r="B338" s="2">
        <v>0</v>
      </c>
      <c r="C338" t="s">
        <v>8</v>
      </c>
      <c r="D338">
        <v>659.62073395059792</v>
      </c>
      <c r="E338">
        <f t="shared" ca="1" si="16"/>
        <v>93.788767975804546</v>
      </c>
      <c r="F338">
        <f t="shared" ca="1" si="17"/>
        <v>3.5149196983904742</v>
      </c>
      <c r="G338" s="1" t="str">
        <f t="shared" ca="1" si="15"/>
        <v>INSERT INTO tableRegionAnimalTest VALUES (' 2019-01-01 ',' 00:00 ', 'Pinguin', '659.620733950598', '93.7887679758045', '3.51491969839047');</v>
      </c>
    </row>
    <row r="339" spans="1:7" x14ac:dyDescent="0.25">
      <c r="A339" s="1">
        <v>43466</v>
      </c>
      <c r="B339" s="2">
        <v>4.1666666666665401E-2</v>
      </c>
      <c r="C339" t="s">
        <v>8</v>
      </c>
      <c r="D339">
        <v>609.18874850379086</v>
      </c>
      <c r="E339">
        <f t="shared" ca="1" si="16"/>
        <v>93.969860391973384</v>
      </c>
      <c r="F339">
        <f t="shared" ca="1" si="17"/>
        <v>3.3084603294372634</v>
      </c>
      <c r="G339" s="1" t="str">
        <f t="shared" ca="1" si="15"/>
        <v>INSERT INTO tableRegionAnimalTest VALUES (' 2019-01-01 ',' 01:00 ', 'Pinguin', '609.188748503791', '93.9698603919734', '3.30846032943726');</v>
      </c>
    </row>
    <row r="340" spans="1:7" x14ac:dyDescent="0.25">
      <c r="A340" s="1">
        <v>43466</v>
      </c>
      <c r="B340" s="2">
        <v>8.33333333333314E-2</v>
      </c>
      <c r="C340" t="s">
        <v>8</v>
      </c>
      <c r="D340">
        <v>563.55580589633485</v>
      </c>
      <c r="E340">
        <f t="shared" ca="1" si="16"/>
        <v>93.387276931369826</v>
      </c>
      <c r="F340">
        <f t="shared" ca="1" si="17"/>
        <v>4.1092377065909433</v>
      </c>
      <c r="G340" s="1" t="str">
        <f t="shared" ca="1" si="15"/>
        <v>INSERT INTO tableRegionAnimalTest VALUES (' 2019-01-01 ',' 02:00 ', 'Pinguin', '563.555805896335', '93.3872769313698', '4.10923770659094');</v>
      </c>
    </row>
    <row r="341" spans="1:7" x14ac:dyDescent="0.25">
      <c r="A341" s="1">
        <v>43466</v>
      </c>
      <c r="B341" s="2">
        <v>0.124999999999998</v>
      </c>
      <c r="C341" t="s">
        <v>8</v>
      </c>
      <c r="D341">
        <v>594.38472031869526</v>
      </c>
      <c r="E341">
        <f t="shared" ca="1" si="16"/>
        <v>93.107580175561068</v>
      </c>
      <c r="F341">
        <f t="shared" ca="1" si="17"/>
        <v>5.0936901820622493</v>
      </c>
      <c r="G341" s="1" t="str">
        <f t="shared" ca="1" si="15"/>
        <v>INSERT INTO tableRegionAnimalTest VALUES (' 2019-01-01 ',' 03:00 ', 'Pinguin', '594.384720318695', '93.1075801755611', '5.09369018206225');</v>
      </c>
    </row>
    <row r="342" spans="1:7" x14ac:dyDescent="0.25">
      <c r="A342" s="1">
        <v>43466</v>
      </c>
      <c r="B342" s="2">
        <v>0.16666666666666499</v>
      </c>
      <c r="C342" t="s">
        <v>8</v>
      </c>
      <c r="D342">
        <v>519.72627263855134</v>
      </c>
      <c r="E342">
        <f t="shared" ca="1" si="16"/>
        <v>92.190240362203156</v>
      </c>
      <c r="F342">
        <f t="shared" ca="1" si="17"/>
        <v>4.8721793759018972</v>
      </c>
      <c r="G342" s="1" t="str">
        <f t="shared" ca="1" si="15"/>
        <v>INSERT INTO tableRegionAnimalTest VALUES (' 2019-01-01 ',' 04:00 ', 'Pinguin', '519.726272638551', '92.1902403622032', '4.8721793759019');</v>
      </c>
    </row>
    <row r="343" spans="1:7" x14ac:dyDescent="0.25">
      <c r="A343" s="1">
        <v>43466</v>
      </c>
      <c r="B343" s="2">
        <v>0.20833333333333201</v>
      </c>
      <c r="C343" t="s">
        <v>8</v>
      </c>
      <c r="D343">
        <v>522.74018815634008</v>
      </c>
      <c r="E343">
        <f t="shared" ca="1" si="16"/>
        <v>92.328921631627992</v>
      </c>
      <c r="F343">
        <f t="shared" ca="1" si="17"/>
        <v>3.9156313608738693</v>
      </c>
      <c r="G343" s="1" t="str">
        <f t="shared" ca="1" si="15"/>
        <v>INSERT INTO tableRegionAnimalTest VALUES (' 2019-01-01 ',' 05:00 ', 'Pinguin', '522.74018815634', '92.328921631628', '3.91563136087387');</v>
      </c>
    </row>
    <row r="344" spans="1:7" x14ac:dyDescent="0.25">
      <c r="A344" s="1">
        <v>43466</v>
      </c>
      <c r="B344" s="2">
        <v>0.249999999999998</v>
      </c>
      <c r="C344" t="s">
        <v>8</v>
      </c>
      <c r="D344">
        <v>532.99571818149479</v>
      </c>
      <c r="E344">
        <f t="shared" ca="1" si="16"/>
        <v>91.52297571457828</v>
      </c>
      <c r="F344">
        <f t="shared" ca="1" si="17"/>
        <v>4.1656925481669926</v>
      </c>
      <c r="G344" s="1" t="str">
        <f t="shared" ca="1" si="15"/>
        <v>INSERT INTO tableRegionAnimalTest VALUES (' 2019-01-01 ',' 06:00 ', 'Pinguin', '532.995718181495', '91.5229757145783', '4.16569254816699');</v>
      </c>
    </row>
    <row r="345" spans="1:7" x14ac:dyDescent="0.25">
      <c r="A345" s="1">
        <v>43466</v>
      </c>
      <c r="B345" s="2">
        <v>0.29166666666666502</v>
      </c>
      <c r="C345" t="s">
        <v>8</v>
      </c>
      <c r="D345">
        <v>587.40831660065135</v>
      </c>
      <c r="E345">
        <f t="shared" ca="1" si="16"/>
        <v>92.074289782663541</v>
      </c>
      <c r="F345">
        <f t="shared" ca="1" si="17"/>
        <v>3.6980953545371702</v>
      </c>
      <c r="G345" s="1" t="str">
        <f t="shared" ca="1" si="15"/>
        <v>INSERT INTO tableRegionAnimalTest VALUES (' 2019-01-01 ',' 07:00 ', 'Pinguin', '587.408316600651', '92.0742897826635', '3.69809535453717');</v>
      </c>
    </row>
    <row r="346" spans="1:7" x14ac:dyDescent="0.25">
      <c r="A346" s="1">
        <v>43466</v>
      </c>
      <c r="B346" s="2">
        <v>0.33333333333333198</v>
      </c>
      <c r="C346" t="s">
        <v>8</v>
      </c>
      <c r="D346">
        <v>606.34950785590593</v>
      </c>
      <c r="E346">
        <f t="shared" ca="1" si="16"/>
        <v>91.966268814891961</v>
      </c>
      <c r="F346">
        <f t="shared" ca="1" si="17"/>
        <v>3.0831142075510392</v>
      </c>
      <c r="G346" s="1" t="str">
        <f t="shared" ca="1" si="15"/>
        <v>INSERT INTO tableRegionAnimalTest VALUES (' 2019-01-01 ',' 08:00 ', 'Pinguin', '606.349507855906', '91.966268814892', '3.08311420755104');</v>
      </c>
    </row>
    <row r="347" spans="1:7" x14ac:dyDescent="0.25">
      <c r="A347" s="1">
        <v>43466</v>
      </c>
      <c r="B347" s="2">
        <v>0.374999999999999</v>
      </c>
      <c r="C347" t="s">
        <v>8</v>
      </c>
      <c r="D347">
        <v>614.87813465698002</v>
      </c>
      <c r="E347">
        <f t="shared" ca="1" si="16"/>
        <v>92.816653416221087</v>
      </c>
      <c r="F347">
        <f t="shared" ca="1" si="17"/>
        <v>3.8953201872501748</v>
      </c>
      <c r="G347" s="1" t="str">
        <f t="shared" ca="1" si="15"/>
        <v>INSERT INTO tableRegionAnimalTest VALUES (' 2019-01-01 ',' 09:00 ', 'Pinguin', '614.87813465698', '92.8166534162211', '3.89532018725017');</v>
      </c>
    </row>
    <row r="348" spans="1:7" x14ac:dyDescent="0.25">
      <c r="A348" s="1">
        <v>43466</v>
      </c>
      <c r="B348" s="2">
        <v>0.41666666666666502</v>
      </c>
      <c r="C348" t="s">
        <v>8</v>
      </c>
      <c r="D348">
        <v>661.59828818517201</v>
      </c>
      <c r="E348">
        <f t="shared" ca="1" si="16"/>
        <v>93.072580599952204</v>
      </c>
      <c r="F348">
        <f t="shared" ca="1" si="17"/>
        <v>3.3865373308952056</v>
      </c>
      <c r="G348" s="1" t="str">
        <f t="shared" ca="1" si="15"/>
        <v>INSERT INTO tableRegionAnimalTest VALUES (' 2019-01-01 ',' 10:00 ', 'Pinguin', '661.598288185172', '93.0725805999522', '3.38653733089521');</v>
      </c>
    </row>
    <row r="349" spans="1:7" x14ac:dyDescent="0.25">
      <c r="A349" s="1">
        <v>43466</v>
      </c>
      <c r="B349" s="2">
        <v>0.45833333333333198</v>
      </c>
      <c r="C349" t="s">
        <v>8</v>
      </c>
      <c r="D349">
        <v>718.54673437101678</v>
      </c>
      <c r="E349">
        <f t="shared" ca="1" si="16"/>
        <v>93.622833143886012</v>
      </c>
      <c r="F349">
        <f t="shared" ca="1" si="17"/>
        <v>2.6512486809819373</v>
      </c>
      <c r="G349" s="1" t="str">
        <f t="shared" ca="1" si="15"/>
        <v>INSERT INTO tableRegionAnimalTest VALUES (' 2019-01-01 ',' 11:00 ', 'Pinguin', '718.546734371017', '93.622833143886', '2.65124868098194');</v>
      </c>
    </row>
    <row r="350" spans="1:7" x14ac:dyDescent="0.25">
      <c r="A350" s="1">
        <v>43466</v>
      </c>
      <c r="B350" s="2">
        <v>0.499999999999999</v>
      </c>
      <c r="C350" t="s">
        <v>8</v>
      </c>
      <c r="D350">
        <v>766.51746950208428</v>
      </c>
      <c r="E350">
        <f t="shared" ca="1" si="16"/>
        <v>94.294518516568417</v>
      </c>
      <c r="F350">
        <f t="shared" ca="1" si="17"/>
        <v>2.2086339280643017</v>
      </c>
      <c r="G350" s="1" t="str">
        <f t="shared" ca="1" si="15"/>
        <v>INSERT INTO tableRegionAnimalTest VALUES (' 2019-01-01 ',' 12:00 ', 'Pinguin', '766.517469502084', '94.2945185165684', '2.2086339280643');</v>
      </c>
    </row>
    <row r="351" spans="1:7" x14ac:dyDescent="0.25">
      <c r="A351" s="1">
        <v>43466</v>
      </c>
      <c r="B351" s="2">
        <v>0.54166666666666596</v>
      </c>
      <c r="C351" t="s">
        <v>8</v>
      </c>
      <c r="D351">
        <v>837.41933455569165</v>
      </c>
      <c r="E351">
        <f t="shared" ca="1" si="16"/>
        <v>93.321075979637413</v>
      </c>
      <c r="F351">
        <f t="shared" ca="1" si="17"/>
        <v>2.1317661555300789</v>
      </c>
      <c r="G351" s="1" t="str">
        <f t="shared" ca="1" si="15"/>
        <v>INSERT INTO tableRegionAnimalTest VALUES (' 2019-01-01 ',' 13:00 ', 'Pinguin', '837.419334555692', '93.3210759796374', '2.13176615553008');</v>
      </c>
    </row>
    <row r="352" spans="1:7" x14ac:dyDescent="0.25">
      <c r="A352" s="1">
        <v>43466</v>
      </c>
      <c r="B352" s="2">
        <v>0.58333333333333204</v>
      </c>
      <c r="C352" t="s">
        <v>8</v>
      </c>
      <c r="D352">
        <v>846.31318462144668</v>
      </c>
      <c r="E352">
        <f t="shared" ca="1" si="16"/>
        <v>93.929959479844527</v>
      </c>
      <c r="F352">
        <f t="shared" ca="1" si="17"/>
        <v>2.0196764002971874</v>
      </c>
      <c r="G352" s="1" t="str">
        <f t="shared" ca="1" si="15"/>
        <v>INSERT INTO tableRegionAnimalTest VALUES (' 2019-01-01 ',' 14:00 ', 'Pinguin', '846.313184621447', '93.9299594798445', '2.01967640029719');</v>
      </c>
    </row>
    <row r="353" spans="1:7" x14ac:dyDescent="0.25">
      <c r="A353" s="1">
        <v>43466</v>
      </c>
      <c r="B353" s="2">
        <v>0.624999999999999</v>
      </c>
      <c r="C353" t="s">
        <v>8</v>
      </c>
      <c r="D353">
        <v>924.22761663287145</v>
      </c>
      <c r="E353">
        <f t="shared" ca="1" si="16"/>
        <v>93.888295901888597</v>
      </c>
      <c r="F353">
        <f t="shared" ca="1" si="17"/>
        <v>1.8932347099349085</v>
      </c>
      <c r="G353" s="1" t="str">
        <f t="shared" ca="1" si="15"/>
        <v>INSERT INTO tableRegionAnimalTest VALUES (' 2019-01-01 ',' 15:00 ', 'Pinguin', '924.227616632871', '93.8882959018886', '1.89323470993491');</v>
      </c>
    </row>
    <row r="354" spans="1:7" x14ac:dyDescent="0.25">
      <c r="A354" s="1">
        <v>43466</v>
      </c>
      <c r="B354" s="2">
        <v>0.66666666666666596</v>
      </c>
      <c r="C354" t="s">
        <v>8</v>
      </c>
      <c r="D354">
        <v>889.91843302139239</v>
      </c>
      <c r="E354">
        <f t="shared" ca="1" si="16"/>
        <v>93.568248980062151</v>
      </c>
      <c r="F354">
        <f t="shared" ca="1" si="17"/>
        <v>0.95237664194766658</v>
      </c>
      <c r="G354" s="1" t="str">
        <f t="shared" ca="1" si="15"/>
        <v>INSERT INTO tableRegionAnimalTest VALUES (' 2019-01-01 ',' 16:00 ', 'Pinguin', '889.918433021392', '93.5682489800622', '0.952376641947667');</v>
      </c>
    </row>
    <row r="355" spans="1:7" x14ac:dyDescent="0.25">
      <c r="A355" s="1">
        <v>43466</v>
      </c>
      <c r="B355" s="2">
        <v>0.70833333333333304</v>
      </c>
      <c r="C355" t="s">
        <v>8</v>
      </c>
      <c r="D355">
        <v>908.29984459845161</v>
      </c>
      <c r="E355">
        <f t="shared" ca="1" si="16"/>
        <v>94.082453125572258</v>
      </c>
      <c r="F355">
        <f t="shared" ca="1" si="17"/>
        <v>1.3544280297819147</v>
      </c>
      <c r="G355" s="1" t="str">
        <f t="shared" ca="1" si="15"/>
        <v>INSERT INTO tableRegionAnimalTest VALUES (' 2019-01-01 ',' 17:00 ', 'Pinguin', '908.299844598452', '94.0824531255723', '1.35442802978191');</v>
      </c>
    </row>
    <row r="356" spans="1:7" x14ac:dyDescent="0.25">
      <c r="A356" s="1">
        <v>43466</v>
      </c>
      <c r="B356" s="2">
        <v>0.749999999999999</v>
      </c>
      <c r="C356" t="s">
        <v>8</v>
      </c>
      <c r="D356">
        <v>954.12276558140127</v>
      </c>
      <c r="E356">
        <f t="shared" ca="1" si="16"/>
        <v>94.445077489319502</v>
      </c>
      <c r="F356">
        <f t="shared" ca="1" si="17"/>
        <v>2.0080515175134064</v>
      </c>
      <c r="G356" s="1" t="str">
        <f t="shared" ca="1" si="15"/>
        <v>INSERT INTO tableRegionAnimalTest VALUES (' 2019-01-01 ',' 18:00 ', 'Pinguin', '954.122765581401', '94.4450774893195', '2.00805151751341');</v>
      </c>
    </row>
    <row r="357" spans="1:7" x14ac:dyDescent="0.25">
      <c r="A357" s="1">
        <v>43466</v>
      </c>
      <c r="B357" s="2">
        <v>0.79166666666666596</v>
      </c>
      <c r="C357" t="s">
        <v>8</v>
      </c>
      <c r="D357">
        <v>881.2995260608551</v>
      </c>
      <c r="E357">
        <f t="shared" ca="1" si="16"/>
        <v>94.059729908378898</v>
      </c>
      <c r="F357">
        <f t="shared" ca="1" si="17"/>
        <v>1.3637580837294345</v>
      </c>
      <c r="G357" s="1" t="str">
        <f t="shared" ca="1" si="15"/>
        <v>INSERT INTO tableRegionAnimalTest VALUES (' 2019-01-01 ',' 19:00 ', 'Pinguin', '881.299526060855', '94.0597299083789', '1.36375808372943');</v>
      </c>
    </row>
    <row r="358" spans="1:7" x14ac:dyDescent="0.25">
      <c r="A358" s="1">
        <v>43466</v>
      </c>
      <c r="B358" s="2">
        <v>0.83333333333333304</v>
      </c>
      <c r="C358" t="s">
        <v>8</v>
      </c>
      <c r="D358">
        <v>872.79684480968899</v>
      </c>
      <c r="E358">
        <f t="shared" ca="1" si="16"/>
        <v>93.155772133718472</v>
      </c>
      <c r="F358">
        <f t="shared" ca="1" si="17"/>
        <v>1.8990511230907914</v>
      </c>
      <c r="G358" s="1" t="str">
        <f t="shared" ca="1" si="15"/>
        <v>INSERT INTO tableRegionAnimalTest VALUES (' 2019-01-01 ',' 20:00 ', 'Pinguin', '872.796844809689', '93.1557721337185', '1.89905112309079');</v>
      </c>
    </row>
    <row r="359" spans="1:7" x14ac:dyDescent="0.25">
      <c r="A359" s="1">
        <v>43466</v>
      </c>
      <c r="B359" s="2">
        <v>0.875</v>
      </c>
      <c r="C359" t="s">
        <v>8</v>
      </c>
      <c r="D359">
        <v>840.09279163599945</v>
      </c>
      <c r="E359">
        <f t="shared" ca="1" si="16"/>
        <v>93.926001538637777</v>
      </c>
      <c r="F359">
        <f t="shared" ca="1" si="17"/>
        <v>1.1170742739163528</v>
      </c>
      <c r="G359" s="1" t="str">
        <f t="shared" ca="1" si="15"/>
        <v>INSERT INTO tableRegionAnimalTest VALUES (' 2019-01-01 ',' 21:00 ', 'Pinguin', '840.092791635999', '93.9260015386378', '1.11707427391635');</v>
      </c>
    </row>
    <row r="360" spans="1:7" x14ac:dyDescent="0.25">
      <c r="A360" s="1">
        <v>43466</v>
      </c>
      <c r="B360" s="2">
        <v>0.91666666666666663</v>
      </c>
      <c r="C360" t="s">
        <v>8</v>
      </c>
      <c r="D360">
        <v>760.65802797125559</v>
      </c>
      <c r="E360">
        <f t="shared" ca="1" si="16"/>
        <v>93.387568412334247</v>
      </c>
      <c r="F360">
        <f t="shared" ca="1" si="17"/>
        <v>1.9260214317597117</v>
      </c>
      <c r="G360" s="1" t="str">
        <f t="shared" ca="1" si="15"/>
        <v>INSERT INTO tableRegionAnimalTest VALUES (' 2019-01-01 ',' 22:00 ', 'Pinguin', '760.658027971256', '93.3875684123342', '1.92602143175971');</v>
      </c>
    </row>
    <row r="361" spans="1:7" x14ac:dyDescent="0.25">
      <c r="A361" s="1">
        <v>43466</v>
      </c>
      <c r="B361" s="2">
        <v>0.95833333333333337</v>
      </c>
      <c r="C361" t="s">
        <v>8</v>
      </c>
      <c r="D361">
        <v>703.16807399858169</v>
      </c>
      <c r="E361">
        <f t="shared" ca="1" si="16"/>
        <v>92.514834826953589</v>
      </c>
      <c r="F361">
        <f t="shared" ca="1" si="17"/>
        <v>1.8139806924414821</v>
      </c>
      <c r="G361" s="1" t="str">
        <f t="shared" ca="1" si="15"/>
        <v>INSERT INTO tableRegionAnimalTest VALUES (' 2019-01-01 ',' 23:00 ', 'Pinguin', '703.168073998582', '92.5148348269536', '1.81398069244148');</v>
      </c>
    </row>
    <row r="362" spans="1:7" x14ac:dyDescent="0.25">
      <c r="A362" s="1">
        <v>43467</v>
      </c>
      <c r="B362" s="2">
        <v>0</v>
      </c>
      <c r="C362" t="s">
        <v>8</v>
      </c>
      <c r="D362">
        <v>668.25275770869268</v>
      </c>
      <c r="E362">
        <f t="shared" ca="1" si="16"/>
        <v>92.276778844680678</v>
      </c>
      <c r="F362">
        <f t="shared" ca="1" si="17"/>
        <v>1.4079330556872891</v>
      </c>
      <c r="G362" s="1" t="str">
        <f t="shared" ca="1" si="15"/>
        <v>INSERT INTO tableRegionAnimalTest VALUES (' 2019-01-02 ',' 00:00 ', 'Pinguin', '668.252757708693', '92.2767788446807', '1.40793305568729');</v>
      </c>
    </row>
    <row r="363" spans="1:7" x14ac:dyDescent="0.25">
      <c r="A363" s="1">
        <v>43467</v>
      </c>
      <c r="B363" s="2">
        <v>4.1666666666665401E-2</v>
      </c>
      <c r="C363" t="s">
        <v>8</v>
      </c>
      <c r="D363">
        <v>652.7266283730213</v>
      </c>
      <c r="E363">
        <f t="shared" ca="1" si="16"/>
        <v>91.502484337111397</v>
      </c>
      <c r="F363">
        <f t="shared" ca="1" si="17"/>
        <v>1.4163507472427976</v>
      </c>
      <c r="G363" s="1" t="str">
        <f t="shared" ca="1" si="15"/>
        <v>INSERT INTO tableRegionAnimalTest VALUES (' 2019-01-02 ',' 01:00 ', 'Pinguin', '652.726628373021', '91.5024843371114', '1.4163507472428');</v>
      </c>
    </row>
    <row r="364" spans="1:7" x14ac:dyDescent="0.25">
      <c r="A364" s="1">
        <v>43467</v>
      </c>
      <c r="B364" s="2">
        <v>8.33333333333314E-2</v>
      </c>
      <c r="C364" t="s">
        <v>8</v>
      </c>
      <c r="D364">
        <v>596.35627171837552</v>
      </c>
      <c r="E364">
        <f t="shared" ca="1" si="16"/>
        <v>90.930875038992696</v>
      </c>
      <c r="F364">
        <f t="shared" ca="1" si="17"/>
        <v>1.6449248410172146</v>
      </c>
      <c r="G364" s="1" t="str">
        <f t="shared" ca="1" si="15"/>
        <v>INSERT INTO tableRegionAnimalTest VALUES (' 2019-01-02 ',' 02:00 ', 'Pinguin', '596.356271718376', '90.9308750389927', '1.64492484101721');</v>
      </c>
    </row>
    <row r="365" spans="1:7" x14ac:dyDescent="0.25">
      <c r="A365" s="1">
        <v>43467</v>
      </c>
      <c r="B365" s="2">
        <v>0.124999999999998</v>
      </c>
      <c r="C365" t="s">
        <v>8</v>
      </c>
      <c r="D365">
        <v>559.64221657062876</v>
      </c>
      <c r="E365">
        <f t="shared" ca="1" si="16"/>
        <v>90.517920631118912</v>
      </c>
      <c r="F365">
        <f t="shared" ca="1" si="17"/>
        <v>1.010115738506594</v>
      </c>
      <c r="G365" s="1" t="str">
        <f t="shared" ca="1" si="15"/>
        <v>INSERT INTO tableRegionAnimalTest VALUES (' 2019-01-02 ',' 03:00 ', 'Pinguin', '559.642216570629', '90.5179206311189', '1.01011573850659');</v>
      </c>
    </row>
    <row r="366" spans="1:7" x14ac:dyDescent="0.25">
      <c r="A366" s="1">
        <v>43467</v>
      </c>
      <c r="B366" s="2">
        <v>0.16666666666666499</v>
      </c>
      <c r="C366" t="s">
        <v>8</v>
      </c>
      <c r="D366">
        <v>523.72801040686829</v>
      </c>
      <c r="E366">
        <f t="shared" ca="1" si="16"/>
        <v>90.29740980520323</v>
      </c>
      <c r="F366">
        <f t="shared" ca="1" si="17"/>
        <v>0.56180823861082096</v>
      </c>
      <c r="G366" s="1" t="str">
        <f t="shared" ca="1" si="15"/>
        <v>INSERT INTO tableRegionAnimalTest VALUES (' 2019-01-02 ',' 04:00 ', 'Pinguin', '523.728010406868', '90.2974098052032', '0.561808238610821');</v>
      </c>
    </row>
    <row r="367" spans="1:7" x14ac:dyDescent="0.25">
      <c r="A367" s="1">
        <v>43467</v>
      </c>
      <c r="B367" s="2">
        <v>0.20833333333333201</v>
      </c>
      <c r="C367" t="s">
        <v>8</v>
      </c>
      <c r="D367">
        <v>521.1342596854879</v>
      </c>
      <c r="E367">
        <f t="shared" ca="1" si="16"/>
        <v>90.786100889593541</v>
      </c>
      <c r="F367">
        <f t="shared" ca="1" si="17"/>
        <v>0.57649155354250192</v>
      </c>
      <c r="G367" s="1" t="str">
        <f t="shared" ca="1" si="15"/>
        <v>INSERT INTO tableRegionAnimalTest VALUES (' 2019-01-02 ',' 05:00 ', 'Pinguin', '521.134259685488', '90.7861008895935', '0.576491553542502');</v>
      </c>
    </row>
    <row r="368" spans="1:7" x14ac:dyDescent="0.25">
      <c r="A368" s="1">
        <v>43467</v>
      </c>
      <c r="B368" s="2">
        <v>0.249999999999998</v>
      </c>
      <c r="C368" t="s">
        <v>8</v>
      </c>
      <c r="D368">
        <v>558.21458826898902</v>
      </c>
      <c r="E368">
        <f t="shared" ca="1" si="16"/>
        <v>90.132518552797691</v>
      </c>
      <c r="F368">
        <f t="shared" ca="1" si="17"/>
        <v>0.82504565123976081</v>
      </c>
      <c r="G368" s="1" t="str">
        <f t="shared" ca="1" si="15"/>
        <v>INSERT INTO tableRegionAnimalTest VALUES (' 2019-01-02 ',' 06:00 ', 'Pinguin', '558.214588268989', '90.1325185527977', '0.825045651239761');</v>
      </c>
    </row>
    <row r="369" spans="1:7" x14ac:dyDescent="0.25">
      <c r="A369" s="1">
        <v>43467</v>
      </c>
      <c r="B369" s="2">
        <v>0.29166666666666502</v>
      </c>
      <c r="C369" t="s">
        <v>8</v>
      </c>
      <c r="D369">
        <v>554.18149082881473</v>
      </c>
      <c r="E369">
        <f t="shared" ca="1" si="16"/>
        <v>90.833571629710704</v>
      </c>
      <c r="F369">
        <f t="shared" ca="1" si="17"/>
        <v>1.6949559052702294</v>
      </c>
      <c r="G369" s="1" t="str">
        <f t="shared" ca="1" si="15"/>
        <v>INSERT INTO tableRegionAnimalTest VALUES (' 2019-01-02 ',' 07:00 ', 'Pinguin', '554.181490828815', '90.8335716297107', '1.69495590527023');</v>
      </c>
    </row>
    <row r="370" spans="1:7" x14ac:dyDescent="0.25">
      <c r="A370" s="1">
        <v>43467</v>
      </c>
      <c r="B370" s="2">
        <v>0.33333333333333198</v>
      </c>
      <c r="C370" t="s">
        <v>8</v>
      </c>
      <c r="D370">
        <v>627.31257617530503</v>
      </c>
      <c r="E370">
        <f t="shared" ca="1" si="16"/>
        <v>90.668794624786244</v>
      </c>
      <c r="F370">
        <f t="shared" ca="1" si="17"/>
        <v>2.5870516574959836</v>
      </c>
      <c r="G370" s="1" t="str">
        <f t="shared" ca="1" si="15"/>
        <v>INSERT INTO tableRegionAnimalTest VALUES (' 2019-01-02 ',' 08:00 ', 'Pinguin', '627.312576175305', '90.6687946247862', '2.58705165749598');</v>
      </c>
    </row>
    <row r="371" spans="1:7" x14ac:dyDescent="0.25">
      <c r="A371" s="1">
        <v>43467</v>
      </c>
      <c r="B371" s="2">
        <v>0.374999999999999</v>
      </c>
      <c r="C371" t="s">
        <v>8</v>
      </c>
      <c r="D371">
        <v>633.8387735430166</v>
      </c>
      <c r="E371">
        <f t="shared" ca="1" si="16"/>
        <v>90.519070135346155</v>
      </c>
      <c r="F371">
        <f t="shared" ca="1" si="17"/>
        <v>2.3566624208911517</v>
      </c>
      <c r="G371" s="1" t="str">
        <f t="shared" ca="1" si="15"/>
        <v>INSERT INTO tableRegionAnimalTest VALUES (' 2019-01-02 ',' 09:00 ', 'Pinguin', '633.838773543017', '90.5190701353462', '2.35666242089115');</v>
      </c>
    </row>
    <row r="372" spans="1:7" x14ac:dyDescent="0.25">
      <c r="A372" s="1">
        <v>43467</v>
      </c>
      <c r="B372" s="2">
        <v>0.41666666666666502</v>
      </c>
      <c r="C372" t="s">
        <v>8</v>
      </c>
      <c r="D372">
        <v>658.46000874240997</v>
      </c>
      <c r="E372">
        <f t="shared" ca="1" si="16"/>
        <v>91.100836837816601</v>
      </c>
      <c r="F372">
        <f t="shared" ca="1" si="17"/>
        <v>2.1820792130142825</v>
      </c>
      <c r="G372" s="1" t="str">
        <f t="shared" ca="1" si="15"/>
        <v>INSERT INTO tableRegionAnimalTest VALUES (' 2019-01-02 ',' 10:00 ', 'Pinguin', '658.46000874241', '91.1008368378166', '2.18207921301428');</v>
      </c>
    </row>
    <row r="373" spans="1:7" x14ac:dyDescent="0.25">
      <c r="A373" s="1">
        <v>43467</v>
      </c>
      <c r="B373" s="2">
        <v>0.45833333333333198</v>
      </c>
      <c r="C373" t="s">
        <v>8</v>
      </c>
      <c r="D373">
        <v>748.79950504404337</v>
      </c>
      <c r="E373">
        <f t="shared" ca="1" si="16"/>
        <v>91.287447106788264</v>
      </c>
      <c r="F373">
        <f t="shared" ca="1" si="17"/>
        <v>2.3235624479227281</v>
      </c>
      <c r="G373" s="1" t="str">
        <f t="shared" ca="1" si="15"/>
        <v>INSERT INTO tableRegionAnimalTest VALUES (' 2019-01-02 ',' 11:00 ', 'Pinguin', '748.799505044043', '91.2874471067883', '2.32356244792273');</v>
      </c>
    </row>
    <row r="374" spans="1:7" x14ac:dyDescent="0.25">
      <c r="A374" s="1">
        <v>43467</v>
      </c>
      <c r="B374" s="2">
        <v>0.499999999999999</v>
      </c>
      <c r="C374" t="s">
        <v>8</v>
      </c>
      <c r="D374">
        <v>764.30354064124583</v>
      </c>
      <c r="E374">
        <f t="shared" ca="1" si="16"/>
        <v>90.881211071461493</v>
      </c>
      <c r="F374">
        <f t="shared" ca="1" si="17"/>
        <v>2.3577896397384785</v>
      </c>
      <c r="G374" s="1" t="str">
        <f t="shared" ca="1" si="15"/>
        <v>INSERT INTO tableRegionAnimalTest VALUES (' 2019-01-02 ',' 12:00 ', 'Pinguin', '764.303540641246', '90.8812110714615', '2.35778963973848');</v>
      </c>
    </row>
    <row r="375" spans="1:7" x14ac:dyDescent="0.25">
      <c r="A375" s="1">
        <v>43467</v>
      </c>
      <c r="B375" s="2">
        <v>0.54166666666666596</v>
      </c>
      <c r="C375" t="s">
        <v>8</v>
      </c>
      <c r="D375">
        <v>812.40902008603211</v>
      </c>
      <c r="E375">
        <f t="shared" ca="1" si="16"/>
        <v>91.302470604577834</v>
      </c>
      <c r="F375">
        <f t="shared" ca="1" si="17"/>
        <v>1.6211804342335885</v>
      </c>
      <c r="G375" s="1" t="str">
        <f t="shared" ca="1" si="15"/>
        <v>INSERT INTO tableRegionAnimalTest VALUES (' 2019-01-02 ',' 13:00 ', 'Pinguin', '812.409020086032', '91.3024706045778', '1.62118043423359');</v>
      </c>
    </row>
    <row r="376" spans="1:7" x14ac:dyDescent="0.25">
      <c r="A376" s="1">
        <v>43467</v>
      </c>
      <c r="B376" s="2">
        <v>0.58333333333333204</v>
      </c>
      <c r="C376" t="s">
        <v>8</v>
      </c>
      <c r="D376">
        <v>886.46049741520949</v>
      </c>
      <c r="E376">
        <f t="shared" ca="1" si="16"/>
        <v>92.205334832679583</v>
      </c>
      <c r="F376">
        <f t="shared" ca="1" si="17"/>
        <v>1.8715857705263002</v>
      </c>
      <c r="G376" s="1" t="str">
        <f t="shared" ca="1" si="15"/>
        <v>INSERT INTO tableRegionAnimalTest VALUES (' 2019-01-02 ',' 14:00 ', 'Pinguin', '886.460497415209', '92.2053348326796', '1.8715857705263');</v>
      </c>
    </row>
    <row r="377" spans="1:7" x14ac:dyDescent="0.25">
      <c r="A377" s="1">
        <v>43467</v>
      </c>
      <c r="B377" s="2">
        <v>0.624999999999999</v>
      </c>
      <c r="C377" t="s">
        <v>8</v>
      </c>
      <c r="D377">
        <v>873.66543102555897</v>
      </c>
      <c r="E377">
        <f t="shared" ca="1" si="16"/>
        <v>92.491318767558695</v>
      </c>
      <c r="F377">
        <f t="shared" ca="1" si="17"/>
        <v>1.8547000025483618</v>
      </c>
      <c r="G377" s="1" t="str">
        <f t="shared" ca="1" si="15"/>
        <v>INSERT INTO tableRegionAnimalTest VALUES (' 2019-01-02 ',' 15:00 ', 'Pinguin', '873.665431025559', '92.4913187675587', '1.85470000254836');</v>
      </c>
    </row>
    <row r="378" spans="1:7" x14ac:dyDescent="0.25">
      <c r="A378" s="1">
        <v>43467</v>
      </c>
      <c r="B378" s="2">
        <v>0.66666666666666596</v>
      </c>
      <c r="C378" t="s">
        <v>8</v>
      </c>
      <c r="D378">
        <v>899.43897100325523</v>
      </c>
      <c r="E378">
        <f t="shared" ca="1" si="16"/>
        <v>92.058095626674586</v>
      </c>
      <c r="F378">
        <f t="shared" ca="1" si="17"/>
        <v>1.6829710247571794</v>
      </c>
      <c r="G378" s="1" t="str">
        <f t="shared" ca="1" si="15"/>
        <v>INSERT INTO tableRegionAnimalTest VALUES (' 2019-01-02 ',' 16:00 ', 'Pinguin', '899.438971003255', '92.0580956266746', '1.68297102475718');</v>
      </c>
    </row>
    <row r="379" spans="1:7" x14ac:dyDescent="0.25">
      <c r="A379" s="1">
        <v>43467</v>
      </c>
      <c r="B379" s="2">
        <v>0.70833333333333304</v>
      </c>
      <c r="C379" t="s">
        <v>8</v>
      </c>
      <c r="D379">
        <v>903.87070158935876</v>
      </c>
      <c r="E379">
        <f t="shared" ca="1" si="16"/>
        <v>91.945794119516037</v>
      </c>
      <c r="F379">
        <f t="shared" ca="1" si="17"/>
        <v>1.2871728677993239</v>
      </c>
      <c r="G379" s="1" t="str">
        <f t="shared" ca="1" si="15"/>
        <v>INSERT INTO tableRegionAnimalTest VALUES (' 2019-01-02 ',' 17:00 ', 'Pinguin', '903.870701589359', '91.945794119516', '1.28717286779932');</v>
      </c>
    </row>
    <row r="380" spans="1:7" x14ac:dyDescent="0.25">
      <c r="A380" s="1">
        <v>43467</v>
      </c>
      <c r="B380" s="2">
        <v>0.749999999999999</v>
      </c>
      <c r="C380" t="s">
        <v>8</v>
      </c>
      <c r="D380">
        <v>911.12283671044997</v>
      </c>
      <c r="E380">
        <f t="shared" ca="1" si="16"/>
        <v>91.190001536675197</v>
      </c>
      <c r="F380">
        <f t="shared" ca="1" si="17"/>
        <v>2.0064138300839423</v>
      </c>
      <c r="G380" s="1" t="str">
        <f t="shared" ca="1" si="15"/>
        <v>INSERT INTO tableRegionAnimalTest VALUES (' 2019-01-02 ',' 18:00 ', 'Pinguin', '911.12283671045', '91.1900015366752', '2.00641383008394');</v>
      </c>
    </row>
    <row r="381" spans="1:7" x14ac:dyDescent="0.25">
      <c r="A381" s="1">
        <v>43467</v>
      </c>
      <c r="B381" s="2">
        <v>0.79166666666666596</v>
      </c>
      <c r="C381" t="s">
        <v>8</v>
      </c>
      <c r="D381">
        <v>900.47489073946099</v>
      </c>
      <c r="E381">
        <f t="shared" ca="1" si="16"/>
        <v>92.091386809780758</v>
      </c>
      <c r="F381">
        <f t="shared" ca="1" si="17"/>
        <v>1.4241713799331159</v>
      </c>
      <c r="G381" s="1" t="str">
        <f t="shared" ca="1" si="15"/>
        <v>INSERT INTO tableRegionAnimalTest VALUES (' 2019-01-02 ',' 19:00 ', 'Pinguin', '900.474890739461', '92.0913868097808', '1.42417137993312');</v>
      </c>
    </row>
    <row r="382" spans="1:7" x14ac:dyDescent="0.25">
      <c r="A382" s="1">
        <v>43467</v>
      </c>
      <c r="B382" s="2">
        <v>0.83333333333333304</v>
      </c>
      <c r="C382" t="s">
        <v>8</v>
      </c>
      <c r="D382">
        <v>871.41844236479824</v>
      </c>
      <c r="E382">
        <f t="shared" ca="1" si="16"/>
        <v>91.936115156068951</v>
      </c>
      <c r="F382">
        <f t="shared" ca="1" si="17"/>
        <v>1.610087702566056</v>
      </c>
      <c r="G382" s="1" t="str">
        <f t="shared" ca="1" si="15"/>
        <v>INSERT INTO tableRegionAnimalTest VALUES (' 2019-01-02 ',' 20:00 ', 'Pinguin', '871.418442364798', '91.936115156069', '1.61008770256606');</v>
      </c>
    </row>
    <row r="383" spans="1:7" x14ac:dyDescent="0.25">
      <c r="A383" s="1">
        <v>43467</v>
      </c>
      <c r="B383" s="2">
        <v>0.875</v>
      </c>
      <c r="C383" t="s">
        <v>8</v>
      </c>
      <c r="D383">
        <v>811.64814511263899</v>
      </c>
      <c r="E383">
        <f t="shared" ca="1" si="16"/>
        <v>91.117793265404629</v>
      </c>
      <c r="F383">
        <f t="shared" ca="1" si="17"/>
        <v>1.6625705763226255</v>
      </c>
      <c r="G383" s="1" t="str">
        <f t="shared" ca="1" si="15"/>
        <v>INSERT INTO tableRegionAnimalTest VALUES (' 2019-01-02 ',' 21:00 ', 'Pinguin', '811.648145112639', '91.1177932654046', '1.66257057632263');</v>
      </c>
    </row>
    <row r="384" spans="1:7" x14ac:dyDescent="0.25">
      <c r="A384" s="1">
        <v>43467</v>
      </c>
      <c r="B384" s="2">
        <v>0.91666666666666663</v>
      </c>
      <c r="C384" t="s">
        <v>8</v>
      </c>
      <c r="D384">
        <v>785.43441050085096</v>
      </c>
      <c r="E384">
        <f t="shared" ca="1" si="16"/>
        <v>90.932646727036058</v>
      </c>
      <c r="F384">
        <f t="shared" ca="1" si="17"/>
        <v>1.702777507066433</v>
      </c>
      <c r="G384" s="1" t="str">
        <f t="shared" ca="1" si="15"/>
        <v>INSERT INTO tableRegionAnimalTest VALUES (' 2019-01-02 ',' 22:00 ', 'Pinguin', '785.434410500851', '90.9326467270361', '1.70277750706643');</v>
      </c>
    </row>
    <row r="385" spans="1:7" x14ac:dyDescent="0.25">
      <c r="A385" s="1">
        <v>43467</v>
      </c>
      <c r="B385" s="2">
        <v>0.95833333333333337</v>
      </c>
      <c r="C385" t="s">
        <v>8</v>
      </c>
      <c r="D385">
        <v>747.7904063078895</v>
      </c>
      <c r="E385">
        <f t="shared" ca="1" si="16"/>
        <v>91.089102637055646</v>
      </c>
      <c r="F385">
        <f t="shared" ca="1" si="17"/>
        <v>2.4155229712491293</v>
      </c>
      <c r="G385" s="1" t="str">
        <f t="shared" ca="1" si="15"/>
        <v>INSERT INTO tableRegionAnimalTest VALUES (' 2019-01-02 ',' 23:00 ', 'Pinguin', '747.790406307889', '91.0891026370556', '2.41552297124913');</v>
      </c>
    </row>
    <row r="386" spans="1:7" x14ac:dyDescent="0.25">
      <c r="A386" s="1">
        <v>43468</v>
      </c>
      <c r="B386" s="2">
        <v>0</v>
      </c>
      <c r="C386" t="s">
        <v>8</v>
      </c>
      <c r="D386">
        <v>651.6138116501071</v>
      </c>
      <c r="E386">
        <f t="shared" ca="1" si="16"/>
        <v>91.218412763014427</v>
      </c>
      <c r="F386">
        <f t="shared" ca="1" si="17"/>
        <v>1.6847922437809297</v>
      </c>
      <c r="G386" s="1" t="str">
        <f t="shared" ca="1" si="15"/>
        <v>INSERT INTO tableRegionAnimalTest VALUES (' 2019-01-03 ',' 00:00 ', 'Pinguin', '651.613811650107', '91.2184127630144', '1.68479224378093');</v>
      </c>
    </row>
    <row r="387" spans="1:7" x14ac:dyDescent="0.25">
      <c r="A387" s="1">
        <v>43468</v>
      </c>
      <c r="B387" s="2">
        <v>4.1666666666665401E-2</v>
      </c>
      <c r="C387" t="s">
        <v>8</v>
      </c>
      <c r="D387">
        <v>608.50848889044187</v>
      </c>
      <c r="E387">
        <f t="shared" ca="1" si="16"/>
        <v>90.669151421929939</v>
      </c>
      <c r="F387">
        <f t="shared" ca="1" si="17"/>
        <v>0.88395599861863006</v>
      </c>
      <c r="G387" s="1" t="str">
        <f t="shared" ref="G387:G450" ca="1" si="18">"INSERT INTO tableRegionAnimalTest VALUES (' "&amp;TEXT(A387,"yyyy-mm-dd")&amp;" ',' "&amp;TEXT(B387,"hh:mm")&amp;" ', '"&amp;C387&amp;"', '"&amp;D387&amp;"', '"&amp;E387&amp;"', '"&amp;F387&amp;"');"</f>
        <v>INSERT INTO tableRegionAnimalTest VALUES (' 2019-01-03 ',' 01:00 ', 'Pinguin', '608.508488890442', '90.6691514219299', '0.88395599861863');</v>
      </c>
    </row>
    <row r="388" spans="1:7" x14ac:dyDescent="0.25">
      <c r="A388" s="1">
        <v>43468</v>
      </c>
      <c r="B388" s="2">
        <v>8.33333333333314E-2</v>
      </c>
      <c r="C388" t="s">
        <v>8</v>
      </c>
      <c r="D388">
        <v>553.82961373377805</v>
      </c>
      <c r="E388">
        <f t="shared" ref="E388:E451" ca="1" si="19">IF(E387&gt;=99, -(RAND()*1)+E387, IF(E387&lt;=81, (RAND()*1) +E387, (RAND()*1)* (RANDBETWEEN(0,1)*2-1) +E387))</f>
        <v>89.7777246753258</v>
      </c>
      <c r="F388">
        <f t="shared" ref="F388:F451" ca="1" si="20">IF(F387&gt;=5, -(RAND()*1)+F387, IF(F387&lt;=1, (RAND()*1) +F387, (RAND()*1)* (RANDBETWEEN(0,1)*2-1) +F387))</f>
        <v>1.7466247008021414</v>
      </c>
      <c r="G388" s="1" t="str">
        <f t="shared" ca="1" si="18"/>
        <v>INSERT INTO tableRegionAnimalTest VALUES (' 2019-01-03 ',' 02:00 ', 'Pinguin', '553.829613733778', '89.7777246753258', '1.74662470080214');</v>
      </c>
    </row>
    <row r="389" spans="1:7" x14ac:dyDescent="0.25">
      <c r="A389" s="1">
        <v>43468</v>
      </c>
      <c r="B389" s="2">
        <v>0.124999999999998</v>
      </c>
      <c r="C389" t="s">
        <v>8</v>
      </c>
      <c r="D389">
        <v>569.96767338985569</v>
      </c>
      <c r="E389">
        <f t="shared" ca="1" si="19"/>
        <v>89.760528193089982</v>
      </c>
      <c r="F389">
        <f t="shared" ca="1" si="20"/>
        <v>1.6914260731629285</v>
      </c>
      <c r="G389" s="1" t="str">
        <f t="shared" ca="1" si="18"/>
        <v>INSERT INTO tableRegionAnimalTest VALUES (' 2019-01-03 ',' 03:00 ', 'Pinguin', '569.967673389856', '89.76052819309', '1.69142607316293');</v>
      </c>
    </row>
    <row r="390" spans="1:7" x14ac:dyDescent="0.25">
      <c r="A390" s="1">
        <v>43468</v>
      </c>
      <c r="B390" s="2">
        <v>0.16666666666666499</v>
      </c>
      <c r="C390" t="s">
        <v>8</v>
      </c>
      <c r="D390">
        <v>523.31086623113083</v>
      </c>
      <c r="E390">
        <f t="shared" ca="1" si="19"/>
        <v>89.946035199841461</v>
      </c>
      <c r="F390">
        <f t="shared" ca="1" si="20"/>
        <v>2.2474199034812328</v>
      </c>
      <c r="G390" s="1" t="str">
        <f t="shared" ca="1" si="18"/>
        <v>INSERT INTO tableRegionAnimalTest VALUES (' 2019-01-03 ',' 04:00 ', 'Pinguin', '523.310866231131', '89.9460351998415', '2.24741990348123');</v>
      </c>
    </row>
    <row r="391" spans="1:7" x14ac:dyDescent="0.25">
      <c r="A391" s="1">
        <v>43468</v>
      </c>
      <c r="B391" s="2">
        <v>0.20833333333333201</v>
      </c>
      <c r="C391" t="s">
        <v>8</v>
      </c>
      <c r="D391">
        <v>522.56236563217283</v>
      </c>
      <c r="E391">
        <f t="shared" ca="1" si="19"/>
        <v>90.891790679275658</v>
      </c>
      <c r="F391">
        <f t="shared" ca="1" si="20"/>
        <v>3.059180068639566</v>
      </c>
      <c r="G391" s="1" t="str">
        <f t="shared" ca="1" si="18"/>
        <v>INSERT INTO tableRegionAnimalTest VALUES (' 2019-01-03 ',' 05:00 ', 'Pinguin', '522.562365632173', '90.8917906792757', '3.05918006863957');</v>
      </c>
    </row>
    <row r="392" spans="1:7" x14ac:dyDescent="0.25">
      <c r="A392" s="1">
        <v>43468</v>
      </c>
      <c r="B392" s="2">
        <v>0.249999999999998</v>
      </c>
      <c r="C392" t="s">
        <v>8</v>
      </c>
      <c r="D392">
        <v>555.31315803386235</v>
      </c>
      <c r="E392">
        <f t="shared" ca="1" si="19"/>
        <v>90.751064727450157</v>
      </c>
      <c r="F392">
        <f t="shared" ca="1" si="20"/>
        <v>3.1794738105827571</v>
      </c>
      <c r="G392" s="1" t="str">
        <f t="shared" ca="1" si="18"/>
        <v>INSERT INTO tableRegionAnimalTest VALUES (' 2019-01-03 ',' 06:00 ', 'Pinguin', '555.313158033862', '90.7510647274502', '3.17947381058276');</v>
      </c>
    </row>
    <row r="393" spans="1:7" x14ac:dyDescent="0.25">
      <c r="A393" s="1">
        <v>43468</v>
      </c>
      <c r="B393" s="2">
        <v>0.29166666666666502</v>
      </c>
      <c r="C393" t="s">
        <v>8</v>
      </c>
      <c r="D393">
        <v>526.43369156495658</v>
      </c>
      <c r="E393">
        <f t="shared" ca="1" si="19"/>
        <v>89.978749343779612</v>
      </c>
      <c r="F393">
        <f t="shared" ca="1" si="20"/>
        <v>3.2572217279833433</v>
      </c>
      <c r="G393" s="1" t="str">
        <f t="shared" ca="1" si="18"/>
        <v>INSERT INTO tableRegionAnimalTest VALUES (' 2019-01-03 ',' 07:00 ', 'Pinguin', '526.433691564957', '89.9787493437796', '3.25722172798334');</v>
      </c>
    </row>
    <row r="394" spans="1:7" x14ac:dyDescent="0.25">
      <c r="A394" s="1">
        <v>43468</v>
      </c>
      <c r="B394" s="2">
        <v>0.33333333333333198</v>
      </c>
      <c r="C394" t="s">
        <v>8</v>
      </c>
      <c r="D394">
        <v>573.21319606673865</v>
      </c>
      <c r="E394">
        <f t="shared" ca="1" si="19"/>
        <v>90.129239229433935</v>
      </c>
      <c r="F394">
        <f t="shared" ca="1" si="20"/>
        <v>3.2424901013370304</v>
      </c>
      <c r="G394" s="1" t="str">
        <f t="shared" ca="1" si="18"/>
        <v>INSERT INTO tableRegionAnimalTest VALUES (' 2019-01-03 ',' 08:00 ', 'Pinguin', '573.213196066739', '90.1292392294339', '3.24249010133703');</v>
      </c>
    </row>
    <row r="395" spans="1:7" x14ac:dyDescent="0.25">
      <c r="A395" s="1">
        <v>43468</v>
      </c>
      <c r="B395" s="2">
        <v>0.374999999999999</v>
      </c>
      <c r="C395" t="s">
        <v>8</v>
      </c>
      <c r="D395">
        <v>617.23433587558691</v>
      </c>
      <c r="E395">
        <f t="shared" ca="1" si="19"/>
        <v>89.986669368770237</v>
      </c>
      <c r="F395">
        <f t="shared" ca="1" si="20"/>
        <v>2.9097247779374964</v>
      </c>
      <c r="G395" s="1" t="str">
        <f t="shared" ca="1" si="18"/>
        <v>INSERT INTO tableRegionAnimalTest VALUES (' 2019-01-03 ',' 09:00 ', 'Pinguin', '617.234335875587', '89.9866693687702', '2.9097247779375');</v>
      </c>
    </row>
    <row r="396" spans="1:7" x14ac:dyDescent="0.25">
      <c r="A396" s="1">
        <v>43468</v>
      </c>
      <c r="B396" s="2">
        <v>0.41666666666666502</v>
      </c>
      <c r="C396" t="s">
        <v>8</v>
      </c>
      <c r="D396">
        <v>689.03845531015247</v>
      </c>
      <c r="E396">
        <f t="shared" ca="1" si="19"/>
        <v>90.176779961067837</v>
      </c>
      <c r="F396">
        <f t="shared" ca="1" si="20"/>
        <v>2.2084611232589153</v>
      </c>
      <c r="G396" s="1" t="str">
        <f t="shared" ca="1" si="18"/>
        <v>INSERT INTO tableRegionAnimalTest VALUES (' 2019-01-03 ',' 10:00 ', 'Pinguin', '689.038455310152', '90.1767799610678', '2.20846112325892');</v>
      </c>
    </row>
    <row r="397" spans="1:7" x14ac:dyDescent="0.25">
      <c r="A397" s="1">
        <v>43468</v>
      </c>
      <c r="B397" s="2">
        <v>0.45833333333333198</v>
      </c>
      <c r="C397" t="s">
        <v>8</v>
      </c>
      <c r="D397">
        <v>700.24158124128701</v>
      </c>
      <c r="E397">
        <f t="shared" ca="1" si="19"/>
        <v>91.054062849705218</v>
      </c>
      <c r="F397">
        <f t="shared" ca="1" si="20"/>
        <v>1.9917367862089224</v>
      </c>
      <c r="G397" s="1" t="str">
        <f t="shared" ca="1" si="18"/>
        <v>INSERT INTO tableRegionAnimalTest VALUES (' 2019-01-03 ',' 11:00 ', 'Pinguin', '700.241581241287', '91.0540628497052', '1.99173678620892');</v>
      </c>
    </row>
    <row r="398" spans="1:7" x14ac:dyDescent="0.25">
      <c r="A398" s="1">
        <v>43468</v>
      </c>
      <c r="B398" s="2">
        <v>0.499999999999999</v>
      </c>
      <c r="C398" t="s">
        <v>8</v>
      </c>
      <c r="D398">
        <v>798.38575506619623</v>
      </c>
      <c r="E398">
        <f t="shared" ca="1" si="19"/>
        <v>90.63928630209216</v>
      </c>
      <c r="F398">
        <f t="shared" ca="1" si="20"/>
        <v>1.5282329633256211</v>
      </c>
      <c r="G398" s="1" t="str">
        <f t="shared" ca="1" si="18"/>
        <v>INSERT INTO tableRegionAnimalTest VALUES (' 2019-01-03 ',' 12:00 ', 'Pinguin', '798.385755066196', '90.6392863020922', '1.52823296332562');</v>
      </c>
    </row>
    <row r="399" spans="1:7" x14ac:dyDescent="0.25">
      <c r="A399" s="1">
        <v>43468</v>
      </c>
      <c r="B399" s="2">
        <v>0.54166666666666596</v>
      </c>
      <c r="C399" t="s">
        <v>8</v>
      </c>
      <c r="D399">
        <v>801.86594658464423</v>
      </c>
      <c r="E399">
        <f t="shared" ca="1" si="19"/>
        <v>89.682594581175337</v>
      </c>
      <c r="F399">
        <f t="shared" ca="1" si="20"/>
        <v>1.1579984574235542</v>
      </c>
      <c r="G399" s="1" t="str">
        <f t="shared" ca="1" si="18"/>
        <v>INSERT INTO tableRegionAnimalTest VALUES (' 2019-01-03 ',' 13:00 ', 'Pinguin', '801.865946584644', '89.6825945811753', '1.15799845742355');</v>
      </c>
    </row>
    <row r="400" spans="1:7" x14ac:dyDescent="0.25">
      <c r="A400" s="1">
        <v>43468</v>
      </c>
      <c r="B400" s="2">
        <v>0.58333333333333204</v>
      </c>
      <c r="C400" t="s">
        <v>8</v>
      </c>
      <c r="D400">
        <v>853.21548463563806</v>
      </c>
      <c r="E400">
        <f t="shared" ca="1" si="19"/>
        <v>90.480299566854086</v>
      </c>
      <c r="F400">
        <f t="shared" ca="1" si="20"/>
        <v>0.94387899194874891</v>
      </c>
      <c r="G400" s="1" t="str">
        <f t="shared" ca="1" si="18"/>
        <v>INSERT INTO tableRegionAnimalTest VALUES (' 2019-01-03 ',' 14:00 ', 'Pinguin', '853.215484635638', '90.4802995668541', '0.943878991948749');</v>
      </c>
    </row>
    <row r="401" spans="1:7" x14ac:dyDescent="0.25">
      <c r="A401" s="1">
        <v>43468</v>
      </c>
      <c r="B401" s="2">
        <v>0.624999999999999</v>
      </c>
      <c r="C401" t="s">
        <v>8</v>
      </c>
      <c r="D401">
        <v>885.45726554241253</v>
      </c>
      <c r="E401">
        <f t="shared" ca="1" si="19"/>
        <v>89.65040108446847</v>
      </c>
      <c r="F401">
        <f t="shared" ca="1" si="20"/>
        <v>1.3534009986784539</v>
      </c>
      <c r="G401" s="1" t="str">
        <f t="shared" ca="1" si="18"/>
        <v>INSERT INTO tableRegionAnimalTest VALUES (' 2019-01-03 ',' 15:00 ', 'Pinguin', '885.457265542413', '89.6504010844685', '1.35340099867845');</v>
      </c>
    </row>
    <row r="402" spans="1:7" x14ac:dyDescent="0.25">
      <c r="A402" s="1">
        <v>43468</v>
      </c>
      <c r="B402" s="2">
        <v>0.66666666666666596</v>
      </c>
      <c r="C402" t="s">
        <v>8</v>
      </c>
      <c r="D402">
        <v>912.18864583794903</v>
      </c>
      <c r="E402">
        <f t="shared" ca="1" si="19"/>
        <v>89.00761136019257</v>
      </c>
      <c r="F402">
        <f t="shared" ca="1" si="20"/>
        <v>0.88831277435570133</v>
      </c>
      <c r="G402" s="1" t="str">
        <f t="shared" ca="1" si="18"/>
        <v>INSERT INTO tableRegionAnimalTest VALUES (' 2019-01-03 ',' 16:00 ', 'Pinguin', '912.188645837949', '89.0076113601926', '0.888312774355701');</v>
      </c>
    </row>
    <row r="403" spans="1:7" x14ac:dyDescent="0.25">
      <c r="A403" s="1">
        <v>43468</v>
      </c>
      <c r="B403" s="2">
        <v>0.70833333333333304</v>
      </c>
      <c r="C403" t="s">
        <v>8</v>
      </c>
      <c r="D403">
        <v>921.4210665441941</v>
      </c>
      <c r="E403">
        <f t="shared" ca="1" si="19"/>
        <v>89.912225518749125</v>
      </c>
      <c r="F403">
        <f t="shared" ca="1" si="20"/>
        <v>1.414723785378023</v>
      </c>
      <c r="G403" s="1" t="str">
        <f t="shared" ca="1" si="18"/>
        <v>INSERT INTO tableRegionAnimalTest VALUES (' 2019-01-03 ',' 17:00 ', 'Pinguin', '921.421066544194', '89.9122255187491', '1.41472378537802');</v>
      </c>
    </row>
    <row r="404" spans="1:7" x14ac:dyDescent="0.25">
      <c r="A404" s="1">
        <v>43468</v>
      </c>
      <c r="B404" s="2">
        <v>0.749999999999999</v>
      </c>
      <c r="C404" t="s">
        <v>8</v>
      </c>
      <c r="D404">
        <v>920.56039173055274</v>
      </c>
      <c r="E404">
        <f t="shared" ca="1" si="19"/>
        <v>90.285033838753407</v>
      </c>
      <c r="F404">
        <f t="shared" ca="1" si="20"/>
        <v>1.6223549783941404</v>
      </c>
      <c r="G404" s="1" t="str">
        <f t="shared" ca="1" si="18"/>
        <v>INSERT INTO tableRegionAnimalTest VALUES (' 2019-01-03 ',' 18:00 ', 'Pinguin', '920.560391730553', '90.2850338387534', '1.62235497839414');</v>
      </c>
    </row>
    <row r="405" spans="1:7" x14ac:dyDescent="0.25">
      <c r="A405" s="1">
        <v>43468</v>
      </c>
      <c r="B405" s="2">
        <v>0.79166666666666596</v>
      </c>
      <c r="C405" t="s">
        <v>8</v>
      </c>
      <c r="D405">
        <v>911.15087149210535</v>
      </c>
      <c r="E405">
        <f t="shared" ca="1" si="19"/>
        <v>89.578298617447004</v>
      </c>
      <c r="F405">
        <f t="shared" ca="1" si="20"/>
        <v>1.9394909004732366</v>
      </c>
      <c r="G405" s="1" t="str">
        <f t="shared" ca="1" si="18"/>
        <v>INSERT INTO tableRegionAnimalTest VALUES (' 2019-01-03 ',' 19:00 ', 'Pinguin', '911.150871492105', '89.578298617447', '1.93949090047324');</v>
      </c>
    </row>
    <row r="406" spans="1:7" x14ac:dyDescent="0.25">
      <c r="A406" s="1">
        <v>43468</v>
      </c>
      <c r="B406" s="2">
        <v>0.83333333333333304</v>
      </c>
      <c r="C406" t="s">
        <v>8</v>
      </c>
      <c r="D406">
        <v>867.67359540515565</v>
      </c>
      <c r="E406">
        <f t="shared" ca="1" si="19"/>
        <v>88.869619929297983</v>
      </c>
      <c r="F406">
        <f t="shared" ca="1" si="20"/>
        <v>1.2901208307366421</v>
      </c>
      <c r="G406" s="1" t="str">
        <f t="shared" ca="1" si="18"/>
        <v>INSERT INTO tableRegionAnimalTest VALUES (' 2019-01-03 ',' 20:00 ', 'Pinguin', '867.673595405156', '88.869619929298', '1.29012083073664');</v>
      </c>
    </row>
    <row r="407" spans="1:7" x14ac:dyDescent="0.25">
      <c r="A407" s="1">
        <v>43468</v>
      </c>
      <c r="B407" s="2">
        <v>0.875</v>
      </c>
      <c r="C407" t="s">
        <v>8</v>
      </c>
      <c r="D407">
        <v>821.47191845587156</v>
      </c>
      <c r="E407">
        <f t="shared" ca="1" si="19"/>
        <v>88.135829402220438</v>
      </c>
      <c r="F407">
        <f t="shared" ca="1" si="20"/>
        <v>2.273314342243105</v>
      </c>
      <c r="G407" s="1" t="str">
        <f t="shared" ca="1" si="18"/>
        <v>INSERT INTO tableRegionAnimalTest VALUES (' 2019-01-03 ',' 21:00 ', 'Pinguin', '821.471918455872', '88.1358294022204', '2.27331434224311');</v>
      </c>
    </row>
    <row r="408" spans="1:7" x14ac:dyDescent="0.25">
      <c r="A408" s="1">
        <v>43468</v>
      </c>
      <c r="B408" s="2">
        <v>0.91666666666666663</v>
      </c>
      <c r="C408" t="s">
        <v>8</v>
      </c>
      <c r="D408">
        <v>764.07367503210844</v>
      </c>
      <c r="E408">
        <f t="shared" ca="1" si="19"/>
        <v>88.64839472246652</v>
      </c>
      <c r="F408">
        <f t="shared" ca="1" si="20"/>
        <v>2.0901792700601973</v>
      </c>
      <c r="G408" s="1" t="str">
        <f t="shared" ca="1" si="18"/>
        <v>INSERT INTO tableRegionAnimalTest VALUES (' 2019-01-03 ',' 22:00 ', 'Pinguin', '764.073675032108', '88.6483947224665', '2.0901792700602');</v>
      </c>
    </row>
    <row r="409" spans="1:7" x14ac:dyDescent="0.25">
      <c r="A409" s="1">
        <v>43468</v>
      </c>
      <c r="B409" s="2">
        <v>0.95833333333333337</v>
      </c>
      <c r="C409" t="s">
        <v>8</v>
      </c>
      <c r="D409">
        <v>745.32846398331037</v>
      </c>
      <c r="E409">
        <f t="shared" ca="1" si="19"/>
        <v>89.584327136601033</v>
      </c>
      <c r="F409">
        <f t="shared" ca="1" si="20"/>
        <v>1.1485552071802134</v>
      </c>
      <c r="G409" s="1" t="str">
        <f t="shared" ca="1" si="18"/>
        <v>INSERT INTO tableRegionAnimalTest VALUES (' 2019-01-03 ',' 23:00 ', 'Pinguin', '745.32846398331', '89.584327136601', '1.14855520718021');</v>
      </c>
    </row>
    <row r="410" spans="1:7" x14ac:dyDescent="0.25">
      <c r="A410" s="1">
        <v>43469</v>
      </c>
      <c r="B410" s="2">
        <v>0</v>
      </c>
      <c r="C410" t="s">
        <v>8</v>
      </c>
      <c r="D410">
        <v>703.42127103719349</v>
      </c>
      <c r="E410">
        <f t="shared" ca="1" si="19"/>
        <v>89.181081503992132</v>
      </c>
      <c r="F410">
        <f t="shared" ca="1" si="20"/>
        <v>1.6421106824652041</v>
      </c>
      <c r="G410" s="1" t="str">
        <f t="shared" ca="1" si="18"/>
        <v>INSERT INTO tableRegionAnimalTest VALUES (' 2019-01-04 ',' 00:00 ', 'Pinguin', '703.421271037193', '89.1810815039921', '1.6421106824652');</v>
      </c>
    </row>
    <row r="411" spans="1:7" x14ac:dyDescent="0.25">
      <c r="A411" s="1">
        <v>43469</v>
      </c>
      <c r="B411" s="2">
        <v>4.1666666666665401E-2</v>
      </c>
      <c r="C411" t="s">
        <v>8</v>
      </c>
      <c r="D411">
        <v>617.17528201031132</v>
      </c>
      <c r="E411">
        <f t="shared" ca="1" si="19"/>
        <v>88.666498631127112</v>
      </c>
      <c r="F411">
        <f t="shared" ca="1" si="20"/>
        <v>1.4743801557854499</v>
      </c>
      <c r="G411" s="1" t="str">
        <f t="shared" ca="1" si="18"/>
        <v>INSERT INTO tableRegionAnimalTest VALUES (' 2019-01-04 ',' 01:00 ', 'Pinguin', '617.175282010311', '88.6664986311271', '1.47438015578545');</v>
      </c>
    </row>
    <row r="412" spans="1:7" x14ac:dyDescent="0.25">
      <c r="A412" s="1">
        <v>43469</v>
      </c>
      <c r="B412" s="2">
        <v>8.33333333333314E-2</v>
      </c>
      <c r="C412" t="s">
        <v>8</v>
      </c>
      <c r="D412">
        <v>561.82206831693941</v>
      </c>
      <c r="E412">
        <f t="shared" ca="1" si="19"/>
        <v>88.685922339770102</v>
      </c>
      <c r="F412">
        <f t="shared" ca="1" si="20"/>
        <v>1.6033491087582241</v>
      </c>
      <c r="G412" s="1" t="str">
        <f t="shared" ca="1" si="18"/>
        <v>INSERT INTO tableRegionAnimalTest VALUES (' 2019-01-04 ',' 02:00 ', 'Pinguin', '561.822068316939', '88.6859223397701', '1.60334910875822');</v>
      </c>
    </row>
    <row r="413" spans="1:7" x14ac:dyDescent="0.25">
      <c r="A413" s="1">
        <v>43469</v>
      </c>
      <c r="B413" s="2">
        <v>0.124999999999998</v>
      </c>
      <c r="C413" t="s">
        <v>8</v>
      </c>
      <c r="D413">
        <v>551.79456941286082</v>
      </c>
      <c r="E413">
        <f t="shared" ca="1" si="19"/>
        <v>89.276697523755018</v>
      </c>
      <c r="F413">
        <f t="shared" ca="1" si="20"/>
        <v>0.65009730463448157</v>
      </c>
      <c r="G413" s="1" t="str">
        <f t="shared" ca="1" si="18"/>
        <v>INSERT INTO tableRegionAnimalTest VALUES (' 2019-01-04 ',' 03:00 ', 'Pinguin', '551.794569412861', '89.276697523755', '0.650097304634482');</v>
      </c>
    </row>
    <row r="414" spans="1:7" x14ac:dyDescent="0.25">
      <c r="A414" s="1">
        <v>43469</v>
      </c>
      <c r="B414" s="2">
        <v>0.16666666666666499</v>
      </c>
      <c r="C414" t="s">
        <v>8</v>
      </c>
      <c r="D414">
        <v>522.59566219102317</v>
      </c>
      <c r="E414">
        <f t="shared" ca="1" si="19"/>
        <v>89.853344155049101</v>
      </c>
      <c r="F414">
        <f t="shared" ca="1" si="20"/>
        <v>1.2955904736737165</v>
      </c>
      <c r="G414" s="1" t="str">
        <f t="shared" ca="1" si="18"/>
        <v>INSERT INTO tableRegionAnimalTest VALUES (' 2019-01-04 ',' 04:00 ', 'Pinguin', '522.595662191023', '89.8533441550491', '1.29559047367372');</v>
      </c>
    </row>
    <row r="415" spans="1:7" x14ac:dyDescent="0.25">
      <c r="A415" s="1">
        <v>43469</v>
      </c>
      <c r="B415" s="2">
        <v>0.20833333333333201</v>
      </c>
      <c r="C415" t="s">
        <v>8</v>
      </c>
      <c r="D415">
        <v>505.29561626105385</v>
      </c>
      <c r="E415">
        <f t="shared" ca="1" si="19"/>
        <v>89.837143810978105</v>
      </c>
      <c r="F415">
        <f t="shared" ca="1" si="20"/>
        <v>0.67692900841947201</v>
      </c>
      <c r="G415" s="1" t="str">
        <f t="shared" ca="1" si="18"/>
        <v>INSERT INTO tableRegionAnimalTest VALUES (' 2019-01-04 ',' 05:00 ', 'Pinguin', '505.295616261054', '89.8371438109781', '0.676929008419472');</v>
      </c>
    </row>
    <row r="416" spans="1:7" x14ac:dyDescent="0.25">
      <c r="A416" s="1">
        <v>43469</v>
      </c>
      <c r="B416" s="2">
        <v>0.249999999999998</v>
      </c>
      <c r="C416" t="s">
        <v>8</v>
      </c>
      <c r="D416">
        <v>520.62560117361363</v>
      </c>
      <c r="E416">
        <f t="shared" ca="1" si="19"/>
        <v>89.034362567159093</v>
      </c>
      <c r="F416">
        <f t="shared" ca="1" si="20"/>
        <v>0.99220414134598833</v>
      </c>
      <c r="G416" s="1" t="str">
        <f t="shared" ca="1" si="18"/>
        <v>INSERT INTO tableRegionAnimalTest VALUES (' 2019-01-04 ',' 06:00 ', 'Pinguin', '520.625601173614', '89.0343625671591', '0.992204141345988');</v>
      </c>
    </row>
    <row r="417" spans="1:7" x14ac:dyDescent="0.25">
      <c r="A417" s="1">
        <v>43469</v>
      </c>
      <c r="B417" s="2">
        <v>0.29166666666666502</v>
      </c>
      <c r="C417" t="s">
        <v>8</v>
      </c>
      <c r="D417">
        <v>532.74591491160743</v>
      </c>
      <c r="E417">
        <f t="shared" ca="1" si="19"/>
        <v>89.587977307670656</v>
      </c>
      <c r="F417">
        <f t="shared" ca="1" si="20"/>
        <v>1.7848534897467143</v>
      </c>
      <c r="G417" s="1" t="str">
        <f t="shared" ca="1" si="18"/>
        <v>INSERT INTO tableRegionAnimalTest VALUES (' 2019-01-04 ',' 07:00 ', 'Pinguin', '532.745914911607', '89.5879773076707', '1.78485348974671');</v>
      </c>
    </row>
    <row r="418" spans="1:7" x14ac:dyDescent="0.25">
      <c r="A418" s="1">
        <v>43469</v>
      </c>
      <c r="B418" s="2">
        <v>0.33333333333333198</v>
      </c>
      <c r="C418" t="s">
        <v>8</v>
      </c>
      <c r="D418">
        <v>601.70752032741632</v>
      </c>
      <c r="E418">
        <f t="shared" ca="1" si="19"/>
        <v>90.368772792503833</v>
      </c>
      <c r="F418">
        <f t="shared" ca="1" si="20"/>
        <v>1.7251451620690115</v>
      </c>
      <c r="G418" s="1" t="str">
        <f t="shared" ca="1" si="18"/>
        <v>INSERT INTO tableRegionAnimalTest VALUES (' 2019-01-04 ',' 08:00 ', 'Pinguin', '601.707520327416', '90.3687727925038', '1.72514516206901');</v>
      </c>
    </row>
    <row r="419" spans="1:7" x14ac:dyDescent="0.25">
      <c r="A419" s="1">
        <v>43469</v>
      </c>
      <c r="B419" s="2">
        <v>0.374999999999999</v>
      </c>
      <c r="C419" t="s">
        <v>8</v>
      </c>
      <c r="D419">
        <v>632.1052282437812</v>
      </c>
      <c r="E419">
        <f t="shared" ca="1" si="19"/>
        <v>89.730800520839935</v>
      </c>
      <c r="F419">
        <f t="shared" ca="1" si="20"/>
        <v>1.6361986671665838</v>
      </c>
      <c r="G419" s="1" t="str">
        <f t="shared" ca="1" si="18"/>
        <v>INSERT INTO tableRegionAnimalTest VALUES (' 2019-01-04 ',' 09:00 ', 'Pinguin', '632.105228243781', '89.7308005208399', '1.63619866716658');</v>
      </c>
    </row>
    <row r="420" spans="1:7" x14ac:dyDescent="0.25">
      <c r="A420" s="1">
        <v>43469</v>
      </c>
      <c r="B420" s="2">
        <v>0.41666666666666502</v>
      </c>
      <c r="C420" t="s">
        <v>8</v>
      </c>
      <c r="D420">
        <v>658.0886864370425</v>
      </c>
      <c r="E420">
        <f t="shared" ca="1" si="19"/>
        <v>90.640094760441798</v>
      </c>
      <c r="F420">
        <f t="shared" ca="1" si="20"/>
        <v>1.039576208622615</v>
      </c>
      <c r="G420" s="1" t="str">
        <f t="shared" ca="1" si="18"/>
        <v>INSERT INTO tableRegionAnimalTest VALUES (' 2019-01-04 ',' 10:00 ', 'Pinguin', '658.088686437042', '90.6400947604418', '1.03957620862262');</v>
      </c>
    </row>
    <row r="421" spans="1:7" x14ac:dyDescent="0.25">
      <c r="A421" s="1">
        <v>43469</v>
      </c>
      <c r="B421" s="2">
        <v>0.45833333333333198</v>
      </c>
      <c r="C421" t="s">
        <v>8</v>
      </c>
      <c r="D421">
        <v>751.62004015445473</v>
      </c>
      <c r="E421">
        <f t="shared" ca="1" si="19"/>
        <v>90.323555259934409</v>
      </c>
      <c r="F421">
        <f t="shared" ca="1" si="20"/>
        <v>0.10239270282272184</v>
      </c>
      <c r="G421" s="1" t="str">
        <f t="shared" ca="1" si="18"/>
        <v>INSERT INTO tableRegionAnimalTest VALUES (' 2019-01-04 ',' 11:00 ', 'Pinguin', '751.620040154455', '90.3235552599344', '0.102392702822722');</v>
      </c>
    </row>
    <row r="422" spans="1:7" x14ac:dyDescent="0.25">
      <c r="A422" s="1">
        <v>43469</v>
      </c>
      <c r="B422" s="2">
        <v>0.499999999999999</v>
      </c>
      <c r="C422" t="s">
        <v>8</v>
      </c>
      <c r="D422">
        <v>778.19784299504602</v>
      </c>
      <c r="E422">
        <f t="shared" ca="1" si="19"/>
        <v>90.630394933517564</v>
      </c>
      <c r="F422">
        <f t="shared" ca="1" si="20"/>
        <v>0.10406959239672631</v>
      </c>
      <c r="G422" s="1" t="str">
        <f t="shared" ca="1" si="18"/>
        <v>INSERT INTO tableRegionAnimalTest VALUES (' 2019-01-04 ',' 12:00 ', 'Pinguin', '778.197842995046', '90.6303949335176', '0.104069592396726');</v>
      </c>
    </row>
    <row r="423" spans="1:7" x14ac:dyDescent="0.25">
      <c r="A423" s="1">
        <v>43469</v>
      </c>
      <c r="B423" s="2">
        <v>0.54166666666666596</v>
      </c>
      <c r="C423" t="s">
        <v>8</v>
      </c>
      <c r="D423">
        <v>824.82422657820598</v>
      </c>
      <c r="E423">
        <f t="shared" ca="1" si="19"/>
        <v>91.066924120027963</v>
      </c>
      <c r="F423">
        <f t="shared" ca="1" si="20"/>
        <v>0.78284001797656078</v>
      </c>
      <c r="G423" s="1" t="str">
        <f t="shared" ca="1" si="18"/>
        <v>INSERT INTO tableRegionAnimalTest VALUES (' 2019-01-04 ',' 13:00 ', 'Pinguin', '824.824226578206', '91.066924120028', '0.782840017976561');</v>
      </c>
    </row>
    <row r="424" spans="1:7" x14ac:dyDescent="0.25">
      <c r="A424" s="1">
        <v>43469</v>
      </c>
      <c r="B424" s="2">
        <v>0.58333333333333204</v>
      </c>
      <c r="C424" t="s">
        <v>8</v>
      </c>
      <c r="D424">
        <v>847.20929861477327</v>
      </c>
      <c r="E424">
        <f t="shared" ca="1" si="19"/>
        <v>91.286712056291307</v>
      </c>
      <c r="F424">
        <f t="shared" ca="1" si="20"/>
        <v>1.4721856726760105</v>
      </c>
      <c r="G424" s="1" t="str">
        <f t="shared" ca="1" si="18"/>
        <v>INSERT INTO tableRegionAnimalTest VALUES (' 2019-01-04 ',' 14:00 ', 'Pinguin', '847.209298614773', '91.2867120562913', '1.47218567267601');</v>
      </c>
    </row>
    <row r="425" spans="1:7" x14ac:dyDescent="0.25">
      <c r="A425" s="1">
        <v>43469</v>
      </c>
      <c r="B425" s="2">
        <v>0.624999999999999</v>
      </c>
      <c r="C425" t="s">
        <v>8</v>
      </c>
      <c r="D425">
        <v>925.63564631557301</v>
      </c>
      <c r="E425">
        <f t="shared" ca="1" si="19"/>
        <v>92.002407010556837</v>
      </c>
      <c r="F425">
        <f t="shared" ca="1" si="20"/>
        <v>0.61423378515172322</v>
      </c>
      <c r="G425" s="1" t="str">
        <f t="shared" ca="1" si="18"/>
        <v>INSERT INTO tableRegionAnimalTest VALUES (' 2019-01-04 ',' 15:00 ', 'Pinguin', '925.635646315573', '92.0024070105568', '0.614233785151723');</v>
      </c>
    </row>
    <row r="426" spans="1:7" x14ac:dyDescent="0.25">
      <c r="A426" s="1">
        <v>43469</v>
      </c>
      <c r="B426" s="2">
        <v>0.66666666666666596</v>
      </c>
      <c r="C426" t="s">
        <v>8</v>
      </c>
      <c r="D426">
        <v>903.86389021555306</v>
      </c>
      <c r="E426">
        <f t="shared" ca="1" si="19"/>
        <v>91.070569108836963</v>
      </c>
      <c r="F426">
        <f t="shared" ca="1" si="20"/>
        <v>1.1865111126866106</v>
      </c>
      <c r="G426" s="1" t="str">
        <f t="shared" ca="1" si="18"/>
        <v>INSERT INTO tableRegionAnimalTest VALUES (' 2019-01-04 ',' 16:00 ', 'Pinguin', '903.863890215553', '91.070569108837', '1.18651111268661');</v>
      </c>
    </row>
    <row r="427" spans="1:7" x14ac:dyDescent="0.25">
      <c r="A427" s="1">
        <v>43469</v>
      </c>
      <c r="B427" s="2">
        <v>0.70833333333333304</v>
      </c>
      <c r="C427" t="s">
        <v>8</v>
      </c>
      <c r="D427">
        <v>926.44566064990192</v>
      </c>
      <c r="E427">
        <f t="shared" ca="1" si="19"/>
        <v>90.811080629752354</v>
      </c>
      <c r="F427">
        <f t="shared" ca="1" si="20"/>
        <v>2.1706488816433795</v>
      </c>
      <c r="G427" s="1" t="str">
        <f t="shared" ca="1" si="18"/>
        <v>INSERT INTO tableRegionAnimalTest VALUES (' 2019-01-04 ',' 17:00 ', 'Pinguin', '926.445660649902', '90.8110806297524', '2.17064888164338');</v>
      </c>
    </row>
    <row r="428" spans="1:7" x14ac:dyDescent="0.25">
      <c r="A428" s="1">
        <v>43469</v>
      </c>
      <c r="B428" s="2">
        <v>0.749999999999999</v>
      </c>
      <c r="C428" t="s">
        <v>8</v>
      </c>
      <c r="D428">
        <v>903.08043489189299</v>
      </c>
      <c r="E428">
        <f t="shared" ca="1" si="19"/>
        <v>90.211351580935315</v>
      </c>
      <c r="F428">
        <f t="shared" ca="1" si="20"/>
        <v>1.2797815465536537</v>
      </c>
      <c r="G428" s="1" t="str">
        <f t="shared" ca="1" si="18"/>
        <v>INSERT INTO tableRegionAnimalTest VALUES (' 2019-01-04 ',' 18:00 ', 'Pinguin', '903.080434891893', '90.2113515809353', '1.27978154655365');</v>
      </c>
    </row>
    <row r="429" spans="1:7" x14ac:dyDescent="0.25">
      <c r="A429" s="1">
        <v>43469</v>
      </c>
      <c r="B429" s="2">
        <v>0.79166666666666596</v>
      </c>
      <c r="C429" t="s">
        <v>8</v>
      </c>
      <c r="D429">
        <v>897.44368738150331</v>
      </c>
      <c r="E429">
        <f t="shared" ca="1" si="19"/>
        <v>89.463968135537911</v>
      </c>
      <c r="F429">
        <f t="shared" ca="1" si="20"/>
        <v>1.3497366778525102</v>
      </c>
      <c r="G429" s="1" t="str">
        <f t="shared" ca="1" si="18"/>
        <v>INSERT INTO tableRegionAnimalTest VALUES (' 2019-01-04 ',' 19:00 ', 'Pinguin', '897.443687381503', '89.4639681355379', '1.34973667785251');</v>
      </c>
    </row>
    <row r="430" spans="1:7" x14ac:dyDescent="0.25">
      <c r="A430" s="1">
        <v>43469</v>
      </c>
      <c r="B430" s="2">
        <v>0.83333333333333304</v>
      </c>
      <c r="C430" t="s">
        <v>8</v>
      </c>
      <c r="D430">
        <v>897.73568447967875</v>
      </c>
      <c r="E430">
        <f t="shared" ca="1" si="19"/>
        <v>89.369444439330309</v>
      </c>
      <c r="F430">
        <f t="shared" ca="1" si="20"/>
        <v>1.1179291997330445</v>
      </c>
      <c r="G430" s="1" t="str">
        <f t="shared" ca="1" si="18"/>
        <v>INSERT INTO tableRegionAnimalTest VALUES (' 2019-01-04 ',' 20:00 ', 'Pinguin', '897.735684479679', '89.3694444393303', '1.11792919973304');</v>
      </c>
    </row>
    <row r="431" spans="1:7" x14ac:dyDescent="0.25">
      <c r="A431" s="1">
        <v>43469</v>
      </c>
      <c r="B431" s="2">
        <v>0.875</v>
      </c>
      <c r="C431" t="s">
        <v>8</v>
      </c>
      <c r="D431">
        <v>861.23094773525304</v>
      </c>
      <c r="E431">
        <f t="shared" ca="1" si="19"/>
        <v>89.177392173821573</v>
      </c>
      <c r="F431">
        <f t="shared" ca="1" si="20"/>
        <v>0.38028561568788055</v>
      </c>
      <c r="G431" s="1" t="str">
        <f t="shared" ca="1" si="18"/>
        <v>INSERT INTO tableRegionAnimalTest VALUES (' 2019-01-04 ',' 21:00 ', 'Pinguin', '861.230947735253', '89.1773921738216', '0.380285615687881');</v>
      </c>
    </row>
    <row r="432" spans="1:7" x14ac:dyDescent="0.25">
      <c r="A432" s="1">
        <v>43469</v>
      </c>
      <c r="B432" s="2">
        <v>0.91666666666666663</v>
      </c>
      <c r="C432" t="s">
        <v>8</v>
      </c>
      <c r="D432">
        <v>810.32249381496797</v>
      </c>
      <c r="E432">
        <f t="shared" ca="1" si="19"/>
        <v>89.930704777108758</v>
      </c>
      <c r="F432">
        <f t="shared" ca="1" si="20"/>
        <v>1.1081101661324999</v>
      </c>
      <c r="G432" s="1" t="str">
        <f t="shared" ca="1" si="18"/>
        <v>INSERT INTO tableRegionAnimalTest VALUES (' 2019-01-04 ',' 22:00 ', 'Pinguin', '810.322493814968', '89.9307047771088', '1.1081101661325');</v>
      </c>
    </row>
    <row r="433" spans="1:7" x14ac:dyDescent="0.25">
      <c r="A433" s="1">
        <v>43469</v>
      </c>
      <c r="B433" s="2">
        <v>0.95833333333333337</v>
      </c>
      <c r="C433" t="s">
        <v>8</v>
      </c>
      <c r="D433">
        <v>719.32663796460668</v>
      </c>
      <c r="E433">
        <f t="shared" ca="1" si="19"/>
        <v>90.68550890533929</v>
      </c>
      <c r="F433">
        <f t="shared" ca="1" si="20"/>
        <v>0.34309027999482333</v>
      </c>
      <c r="G433" s="1" t="str">
        <f t="shared" ca="1" si="18"/>
        <v>INSERT INTO tableRegionAnimalTest VALUES (' 2019-01-04 ',' 23:00 ', 'Pinguin', '719.326637964607', '90.6855089053393', '0.343090279994823');</v>
      </c>
    </row>
    <row r="434" spans="1:7" x14ac:dyDescent="0.25">
      <c r="A434" s="1">
        <v>43470</v>
      </c>
      <c r="B434" s="2">
        <v>0</v>
      </c>
      <c r="C434" t="s">
        <v>8</v>
      </c>
      <c r="D434">
        <v>697.61484993193926</v>
      </c>
      <c r="E434">
        <f t="shared" ca="1" si="19"/>
        <v>91.270240755367155</v>
      </c>
      <c r="F434">
        <f t="shared" ca="1" si="20"/>
        <v>0.42185920678117572</v>
      </c>
      <c r="G434" s="1" t="str">
        <f t="shared" ca="1" si="18"/>
        <v>INSERT INTO tableRegionAnimalTest VALUES (' 2019-01-05 ',' 00:00 ', 'Pinguin', '697.614849931939', '91.2702407553672', '0.421859206781176');</v>
      </c>
    </row>
    <row r="435" spans="1:7" x14ac:dyDescent="0.25">
      <c r="A435" s="1">
        <v>43470</v>
      </c>
      <c r="B435" s="2">
        <v>4.1666666666665401E-2</v>
      </c>
      <c r="C435" t="s">
        <v>8</v>
      </c>
      <c r="D435">
        <v>630.59090612228374</v>
      </c>
      <c r="E435">
        <f t="shared" ca="1" si="19"/>
        <v>90.631491031242845</v>
      </c>
      <c r="F435">
        <f t="shared" ca="1" si="20"/>
        <v>0.85569183504229163</v>
      </c>
      <c r="G435" s="1" t="str">
        <f t="shared" ca="1" si="18"/>
        <v>INSERT INTO tableRegionAnimalTest VALUES (' 2019-01-05 ',' 01:00 ', 'Pinguin', '630.590906122284', '90.6314910312428', '0.855691835042292');</v>
      </c>
    </row>
    <row r="436" spans="1:7" x14ac:dyDescent="0.25">
      <c r="A436" s="1">
        <v>43470</v>
      </c>
      <c r="B436" s="2">
        <v>8.33333333333314E-2</v>
      </c>
      <c r="C436" t="s">
        <v>8</v>
      </c>
      <c r="D436">
        <v>564.41929892653479</v>
      </c>
      <c r="E436">
        <f t="shared" ca="1" si="19"/>
        <v>90.590389370725362</v>
      </c>
      <c r="F436">
        <f t="shared" ca="1" si="20"/>
        <v>1.3333469053274354</v>
      </c>
      <c r="G436" s="1" t="str">
        <f t="shared" ca="1" si="18"/>
        <v>INSERT INTO tableRegionAnimalTest VALUES (' 2019-01-05 ',' 02:00 ', 'Pinguin', '564.419298926535', '90.5903893707254', '1.33334690532744');</v>
      </c>
    </row>
    <row r="437" spans="1:7" x14ac:dyDescent="0.25">
      <c r="A437" s="1">
        <v>43470</v>
      </c>
      <c r="B437" s="2">
        <v>0.124999999999998</v>
      </c>
      <c r="C437" t="s">
        <v>8</v>
      </c>
      <c r="D437">
        <v>572.54905386998712</v>
      </c>
      <c r="E437">
        <f t="shared" ca="1" si="19"/>
        <v>91.324491190060598</v>
      </c>
      <c r="F437">
        <f t="shared" ca="1" si="20"/>
        <v>0.67516539266328457</v>
      </c>
      <c r="G437" s="1" t="str">
        <f t="shared" ca="1" si="18"/>
        <v>INSERT INTO tableRegionAnimalTest VALUES (' 2019-01-05 ',' 03:00 ', 'Pinguin', '572.549053869987', '91.3244911900606', '0.675165392663285');</v>
      </c>
    </row>
    <row r="438" spans="1:7" x14ac:dyDescent="0.25">
      <c r="A438" s="1">
        <v>43470</v>
      </c>
      <c r="B438" s="2">
        <v>0.16666666666666499</v>
      </c>
      <c r="C438" t="s">
        <v>8</v>
      </c>
      <c r="D438">
        <v>569.46445421586043</v>
      </c>
      <c r="E438">
        <f t="shared" ca="1" si="19"/>
        <v>91.320001776045018</v>
      </c>
      <c r="F438">
        <f t="shared" ca="1" si="20"/>
        <v>0.83690414130217428</v>
      </c>
      <c r="G438" s="1" t="str">
        <f t="shared" ca="1" si="18"/>
        <v>INSERT INTO tableRegionAnimalTest VALUES (' 2019-01-05 ',' 04:00 ', 'Pinguin', '569.46445421586', '91.320001776045', '0.836904141302174');</v>
      </c>
    </row>
    <row r="439" spans="1:7" x14ac:dyDescent="0.25">
      <c r="A439" s="1">
        <v>43470</v>
      </c>
      <c r="B439" s="2">
        <v>0.20833333333333201</v>
      </c>
      <c r="C439" t="s">
        <v>8</v>
      </c>
      <c r="D439">
        <v>527.85608957164857</v>
      </c>
      <c r="E439">
        <f t="shared" ca="1" si="19"/>
        <v>90.537243381716024</v>
      </c>
      <c r="F439">
        <f t="shared" ca="1" si="20"/>
        <v>1.5636713076607638</v>
      </c>
      <c r="G439" s="1" t="str">
        <f t="shared" ca="1" si="18"/>
        <v>INSERT INTO tableRegionAnimalTest VALUES (' 2019-01-05 ',' 05:00 ', 'Pinguin', '527.856089571649', '90.537243381716', '1.56367130766076');</v>
      </c>
    </row>
    <row r="440" spans="1:7" x14ac:dyDescent="0.25">
      <c r="A440" s="1">
        <v>43470</v>
      </c>
      <c r="B440" s="2">
        <v>0.249999999999998</v>
      </c>
      <c r="C440" t="s">
        <v>8</v>
      </c>
      <c r="D440">
        <v>559.39134095461429</v>
      </c>
      <c r="E440">
        <f t="shared" ca="1" si="19"/>
        <v>89.729245576727479</v>
      </c>
      <c r="F440">
        <f t="shared" ca="1" si="20"/>
        <v>0.9230267843191694</v>
      </c>
      <c r="G440" s="1" t="str">
        <f t="shared" ca="1" si="18"/>
        <v>INSERT INTO tableRegionAnimalTest VALUES (' 2019-01-05 ',' 06:00 ', 'Pinguin', '559.391340954614', '89.7292455767275', '0.923026784319169');</v>
      </c>
    </row>
    <row r="441" spans="1:7" x14ac:dyDescent="0.25">
      <c r="A441" s="1">
        <v>43470</v>
      </c>
      <c r="B441" s="2">
        <v>0.29166666666666502</v>
      </c>
      <c r="C441" t="s">
        <v>8</v>
      </c>
      <c r="D441">
        <v>534.90328651538755</v>
      </c>
      <c r="E441">
        <f t="shared" ca="1" si="19"/>
        <v>88.98000189104711</v>
      </c>
      <c r="F441">
        <f t="shared" ca="1" si="20"/>
        <v>1.5084661201974203</v>
      </c>
      <c r="G441" s="1" t="str">
        <f t="shared" ca="1" si="18"/>
        <v>INSERT INTO tableRegionAnimalTest VALUES (' 2019-01-05 ',' 07:00 ', 'Pinguin', '534.903286515388', '88.9800018910471', '1.50846612019742');</v>
      </c>
    </row>
    <row r="442" spans="1:7" x14ac:dyDescent="0.25">
      <c r="A442" s="1">
        <v>43470</v>
      </c>
      <c r="B442" s="2">
        <v>0.33333333333333198</v>
      </c>
      <c r="C442" t="s">
        <v>8</v>
      </c>
      <c r="D442">
        <v>621.7429810793418</v>
      </c>
      <c r="E442">
        <f t="shared" ca="1" si="19"/>
        <v>88.108771408066403</v>
      </c>
      <c r="F442">
        <f t="shared" ca="1" si="20"/>
        <v>1.5812446267521456</v>
      </c>
      <c r="G442" s="1" t="str">
        <f t="shared" ca="1" si="18"/>
        <v>INSERT INTO tableRegionAnimalTest VALUES (' 2019-01-05 ',' 08:00 ', 'Pinguin', '621.742981079342', '88.1087714080664', '1.58124462675215');</v>
      </c>
    </row>
    <row r="443" spans="1:7" x14ac:dyDescent="0.25">
      <c r="A443" s="1">
        <v>43470</v>
      </c>
      <c r="B443" s="2">
        <v>0.374999999999999</v>
      </c>
      <c r="C443" t="s">
        <v>8</v>
      </c>
      <c r="D443">
        <v>650.52254862708742</v>
      </c>
      <c r="E443">
        <f t="shared" ca="1" si="19"/>
        <v>87.895296591385303</v>
      </c>
      <c r="F443">
        <f t="shared" ca="1" si="20"/>
        <v>1.8034367956274278</v>
      </c>
      <c r="G443" s="1" t="str">
        <f t="shared" ca="1" si="18"/>
        <v>INSERT INTO tableRegionAnimalTest VALUES (' 2019-01-05 ',' 09:00 ', 'Pinguin', '650.522548627087', '87.8952965913853', '1.80343679562743');</v>
      </c>
    </row>
    <row r="444" spans="1:7" x14ac:dyDescent="0.25">
      <c r="A444" s="1">
        <v>43470</v>
      </c>
      <c r="B444" s="2">
        <v>0.41666666666666502</v>
      </c>
      <c r="C444" t="s">
        <v>8</v>
      </c>
      <c r="D444">
        <v>673.00473839049323</v>
      </c>
      <c r="E444">
        <f t="shared" ca="1" si="19"/>
        <v>87.895977100095223</v>
      </c>
      <c r="F444">
        <f t="shared" ca="1" si="20"/>
        <v>2.0349159402843968</v>
      </c>
      <c r="G444" s="1" t="str">
        <f t="shared" ca="1" si="18"/>
        <v>INSERT INTO tableRegionAnimalTest VALUES (' 2019-01-05 ',' 10:00 ', 'Pinguin', '673.004738390493', '87.8959771000952', '2.0349159402844');</v>
      </c>
    </row>
    <row r="445" spans="1:7" x14ac:dyDescent="0.25">
      <c r="A445" s="1">
        <v>43470</v>
      </c>
      <c r="B445" s="2">
        <v>0.45833333333333198</v>
      </c>
      <c r="C445" t="s">
        <v>8</v>
      </c>
      <c r="D445">
        <v>722.54562726463325</v>
      </c>
      <c r="E445">
        <f t="shared" ca="1" si="19"/>
        <v>87.249590976811731</v>
      </c>
      <c r="F445">
        <f t="shared" ca="1" si="20"/>
        <v>1.3541801129023581</v>
      </c>
      <c r="G445" s="1" t="str">
        <f t="shared" ca="1" si="18"/>
        <v>INSERT INTO tableRegionAnimalTest VALUES (' 2019-01-05 ',' 11:00 ', 'Pinguin', '722.545627264633', '87.2495909768117', '1.35418011290236');</v>
      </c>
    </row>
    <row r="446" spans="1:7" x14ac:dyDescent="0.25">
      <c r="A446" s="1">
        <v>43470</v>
      </c>
      <c r="B446" s="2">
        <v>0.499999999999999</v>
      </c>
      <c r="C446" t="s">
        <v>8</v>
      </c>
      <c r="D446">
        <v>818.6157056616953</v>
      </c>
      <c r="E446">
        <f t="shared" ca="1" si="19"/>
        <v>87.442752122610116</v>
      </c>
      <c r="F446">
        <f t="shared" ca="1" si="20"/>
        <v>1.7569124574015529</v>
      </c>
      <c r="G446" s="1" t="str">
        <f t="shared" ca="1" si="18"/>
        <v>INSERT INTO tableRegionAnimalTest VALUES (' 2019-01-05 ',' 12:00 ', 'Pinguin', '818.615705661695', '87.4427521226101', '1.75691245740155');</v>
      </c>
    </row>
    <row r="447" spans="1:7" x14ac:dyDescent="0.25">
      <c r="A447" s="1">
        <v>43470</v>
      </c>
      <c r="B447" s="2">
        <v>0.54166666666666596</v>
      </c>
      <c r="C447" t="s">
        <v>8</v>
      </c>
      <c r="D447">
        <v>858.49493627272682</v>
      </c>
      <c r="E447">
        <f t="shared" ca="1" si="19"/>
        <v>87.297682757959791</v>
      </c>
      <c r="F447">
        <f t="shared" ca="1" si="20"/>
        <v>0.96417477357868098</v>
      </c>
      <c r="G447" s="1" t="str">
        <f t="shared" ca="1" si="18"/>
        <v>INSERT INTO tableRegionAnimalTest VALUES (' 2019-01-05 ',' 13:00 ', 'Pinguin', '858.494936272727', '87.2976827579598', '0.964174773578681');</v>
      </c>
    </row>
    <row r="448" spans="1:7" x14ac:dyDescent="0.25">
      <c r="A448" s="1">
        <v>43470</v>
      </c>
      <c r="B448" s="2">
        <v>0.58333333333333204</v>
      </c>
      <c r="C448" t="s">
        <v>8</v>
      </c>
      <c r="D448">
        <v>855.93987764173869</v>
      </c>
      <c r="E448">
        <f t="shared" ca="1" si="19"/>
        <v>86.566730309230849</v>
      </c>
      <c r="F448">
        <f t="shared" ca="1" si="20"/>
        <v>1.8853557036875177</v>
      </c>
      <c r="G448" s="1" t="str">
        <f t="shared" ca="1" si="18"/>
        <v>INSERT INTO tableRegionAnimalTest VALUES (' 2019-01-05 ',' 14:00 ', 'Pinguin', '855.939877641739', '86.5667303092308', '1.88535570368752');</v>
      </c>
    </row>
    <row r="449" spans="1:7" x14ac:dyDescent="0.25">
      <c r="A449" s="1">
        <v>43470</v>
      </c>
      <c r="B449" s="2">
        <v>0.624999999999999</v>
      </c>
      <c r="C449" t="s">
        <v>8</v>
      </c>
      <c r="D449">
        <v>906.52186988277469</v>
      </c>
      <c r="E449">
        <f t="shared" ca="1" si="19"/>
        <v>86.842805544264976</v>
      </c>
      <c r="F449">
        <f t="shared" ca="1" si="20"/>
        <v>1.8267631285562533</v>
      </c>
      <c r="G449" s="1" t="str">
        <f t="shared" ca="1" si="18"/>
        <v>INSERT INTO tableRegionAnimalTest VALUES (' 2019-01-05 ',' 15:00 ', 'Pinguin', '906.521869882775', '86.842805544265', '1.82676312855625');</v>
      </c>
    </row>
    <row r="450" spans="1:7" x14ac:dyDescent="0.25">
      <c r="A450" s="1">
        <v>43470</v>
      </c>
      <c r="B450" s="2">
        <v>0.66666666666666596</v>
      </c>
      <c r="C450" t="s">
        <v>8</v>
      </c>
      <c r="D450">
        <v>924.01930951756719</v>
      </c>
      <c r="E450">
        <f t="shared" ca="1" si="19"/>
        <v>86.109376216206641</v>
      </c>
      <c r="F450">
        <f t="shared" ca="1" si="20"/>
        <v>1.6677894901755441</v>
      </c>
      <c r="G450" s="1" t="str">
        <f t="shared" ca="1" si="18"/>
        <v>INSERT INTO tableRegionAnimalTest VALUES (' 2019-01-05 ',' 16:00 ', 'Pinguin', '924.019309517567', '86.1093762162066', '1.66778949017554');</v>
      </c>
    </row>
    <row r="451" spans="1:7" x14ac:dyDescent="0.25">
      <c r="A451" s="1">
        <v>43470</v>
      </c>
      <c r="B451" s="2">
        <v>0.70833333333333304</v>
      </c>
      <c r="C451" t="s">
        <v>8</v>
      </c>
      <c r="D451">
        <v>907.41092924127327</v>
      </c>
      <c r="E451">
        <f t="shared" ca="1" si="19"/>
        <v>85.995492990557509</v>
      </c>
      <c r="F451">
        <f t="shared" ca="1" si="20"/>
        <v>2.3918932859872362</v>
      </c>
      <c r="G451" s="1" t="str">
        <f t="shared" ref="G451:G505" ca="1" si="21">"INSERT INTO tableRegionAnimalTest VALUES (' "&amp;TEXT(A451,"yyyy-mm-dd")&amp;" ',' "&amp;TEXT(B451,"hh:mm")&amp;" ', '"&amp;C451&amp;"', '"&amp;D451&amp;"', '"&amp;E451&amp;"', '"&amp;F451&amp;"');"</f>
        <v>INSERT INTO tableRegionAnimalTest VALUES (' 2019-01-05 ',' 17:00 ', 'Pinguin', '907.410929241273', '85.9954929905575', '2.39189328598724');</v>
      </c>
    </row>
    <row r="452" spans="1:7" x14ac:dyDescent="0.25">
      <c r="A452" s="1">
        <v>43470</v>
      </c>
      <c r="B452" s="2">
        <v>0.749999999999999</v>
      </c>
      <c r="C452" t="s">
        <v>8</v>
      </c>
      <c r="D452">
        <v>894.98774125453224</v>
      </c>
      <c r="E452">
        <f t="shared" ref="E452:E505" ca="1" si="22">IF(E451&gt;=99, -(RAND()*1)+E451, IF(E451&lt;=81, (RAND()*1) +E451, (RAND()*1)* (RANDBETWEEN(0,1)*2-1) +E451))</f>
        <v>86.615821671231927</v>
      </c>
      <c r="F452">
        <f t="shared" ref="F452:F505" ca="1" si="23">IF(F451&gt;=5, -(RAND()*1)+F451, IF(F451&lt;=1, (RAND()*1) +F451, (RAND()*1)* (RANDBETWEEN(0,1)*2-1) +F451))</f>
        <v>2.3090536845067766</v>
      </c>
      <c r="G452" s="1" t="str">
        <f t="shared" ca="1" si="21"/>
        <v>INSERT INTO tableRegionAnimalTest VALUES (' 2019-01-05 ',' 18:00 ', 'Pinguin', '894.987741254532', '86.6158216712319', '2.30905368450678');</v>
      </c>
    </row>
    <row r="453" spans="1:7" x14ac:dyDescent="0.25">
      <c r="A453" s="1">
        <v>43470</v>
      </c>
      <c r="B453" s="2">
        <v>0.79166666666666596</v>
      </c>
      <c r="C453" t="s">
        <v>8</v>
      </c>
      <c r="D453">
        <v>903.74030224941509</v>
      </c>
      <c r="E453">
        <f t="shared" ca="1" si="22"/>
        <v>86.723739273959595</v>
      </c>
      <c r="F453">
        <f t="shared" ca="1" si="23"/>
        <v>2.4229665066492827</v>
      </c>
      <c r="G453" s="1" t="str">
        <f t="shared" ca="1" si="21"/>
        <v>INSERT INTO tableRegionAnimalTest VALUES (' 2019-01-05 ',' 19:00 ', 'Pinguin', '903.740302249415', '86.7237392739596', '2.42296650664928');</v>
      </c>
    </row>
    <row r="454" spans="1:7" x14ac:dyDescent="0.25">
      <c r="A454" s="1">
        <v>43470</v>
      </c>
      <c r="B454" s="2">
        <v>0.83333333333333304</v>
      </c>
      <c r="C454" t="s">
        <v>8</v>
      </c>
      <c r="D454">
        <v>909.89424001392956</v>
      </c>
      <c r="E454">
        <f t="shared" ca="1" si="22"/>
        <v>86.772176514428807</v>
      </c>
      <c r="F454">
        <f t="shared" ca="1" si="23"/>
        <v>3.4192658292384017</v>
      </c>
      <c r="G454" s="1" t="str">
        <f t="shared" ca="1" si="21"/>
        <v>INSERT INTO tableRegionAnimalTest VALUES (' 2019-01-05 ',' 20:00 ', 'Pinguin', '909.89424001393', '86.7721765144288', '3.4192658292384');</v>
      </c>
    </row>
    <row r="455" spans="1:7" x14ac:dyDescent="0.25">
      <c r="A455" s="1">
        <v>43470</v>
      </c>
      <c r="B455" s="2">
        <v>0.875</v>
      </c>
      <c r="C455" t="s">
        <v>8</v>
      </c>
      <c r="D455">
        <v>820.98382162136818</v>
      </c>
      <c r="E455">
        <f t="shared" ca="1" si="22"/>
        <v>86.29292461439897</v>
      </c>
      <c r="F455">
        <f t="shared" ca="1" si="23"/>
        <v>3.3425935544206609</v>
      </c>
      <c r="G455" s="1" t="str">
        <f t="shared" ca="1" si="21"/>
        <v>INSERT INTO tableRegionAnimalTest VALUES (' 2019-01-05 ',' 21:00 ', 'Pinguin', '820.983821621368', '86.292924614399', '3.34259355442066');</v>
      </c>
    </row>
    <row r="456" spans="1:7" x14ac:dyDescent="0.25">
      <c r="A456" s="1">
        <v>43470</v>
      </c>
      <c r="B456" s="2">
        <v>0.91666666666666663</v>
      </c>
      <c r="C456" t="s">
        <v>8</v>
      </c>
      <c r="D456">
        <v>818.28674871570468</v>
      </c>
      <c r="E456">
        <f t="shared" ca="1" si="22"/>
        <v>85.710216320374968</v>
      </c>
      <c r="F456">
        <f t="shared" ca="1" si="23"/>
        <v>2.3817620381196898</v>
      </c>
      <c r="G456" s="1" t="str">
        <f t="shared" ca="1" si="21"/>
        <v>INSERT INTO tableRegionAnimalTest VALUES (' 2019-01-05 ',' 22:00 ', 'Pinguin', '818.286748715705', '85.710216320375', '2.38176203811969');</v>
      </c>
    </row>
    <row r="457" spans="1:7" x14ac:dyDescent="0.25">
      <c r="A457" s="1">
        <v>43470</v>
      </c>
      <c r="B457" s="2">
        <v>0.95833333333333337</v>
      </c>
      <c r="C457" t="s">
        <v>8</v>
      </c>
      <c r="D457">
        <v>738.96406691114282</v>
      </c>
      <c r="E457">
        <f t="shared" ca="1" si="22"/>
        <v>85.749213586793417</v>
      </c>
      <c r="F457">
        <f t="shared" ca="1" si="23"/>
        <v>3.0458337016777142</v>
      </c>
      <c r="G457" s="1" t="str">
        <f t="shared" ca="1" si="21"/>
        <v>INSERT INTO tableRegionAnimalTest VALUES (' 2019-01-05 ',' 23:00 ', 'Pinguin', '738.964066911143', '85.7492135867934', '3.04583370167771');</v>
      </c>
    </row>
    <row r="458" spans="1:7" x14ac:dyDescent="0.25">
      <c r="A458" s="1">
        <v>43471</v>
      </c>
      <c r="B458" s="2">
        <v>0</v>
      </c>
      <c r="C458" t="s">
        <v>8</v>
      </c>
      <c r="D458">
        <v>692.31108606620228</v>
      </c>
      <c r="E458">
        <f t="shared" ca="1" si="22"/>
        <v>85.475105379017776</v>
      </c>
      <c r="F458">
        <f t="shared" ca="1" si="23"/>
        <v>3.2866992699321083</v>
      </c>
      <c r="G458" s="1" t="str">
        <f t="shared" ca="1" si="21"/>
        <v>INSERT INTO tableRegionAnimalTest VALUES (' 2019-01-06 ',' 00:00 ', 'Pinguin', '692.311086066202', '85.4751053790178', '3.28669926993211');</v>
      </c>
    </row>
    <row r="459" spans="1:7" x14ac:dyDescent="0.25">
      <c r="A459" s="1">
        <v>43471</v>
      </c>
      <c r="B459" s="2">
        <v>4.1666666666665401E-2</v>
      </c>
      <c r="C459" t="s">
        <v>8</v>
      </c>
      <c r="D459">
        <v>646.96296882152365</v>
      </c>
      <c r="E459">
        <f t="shared" ca="1" si="22"/>
        <v>85.022589269424003</v>
      </c>
      <c r="F459">
        <f t="shared" ca="1" si="23"/>
        <v>2.7284111344788053</v>
      </c>
      <c r="G459" s="1" t="str">
        <f t="shared" ca="1" si="21"/>
        <v>INSERT INTO tableRegionAnimalTest VALUES (' 2019-01-06 ',' 01:00 ', 'Pinguin', '646.962968821524', '85.022589269424', '2.72841113447881');</v>
      </c>
    </row>
    <row r="460" spans="1:7" x14ac:dyDescent="0.25">
      <c r="A460" s="1">
        <v>43471</v>
      </c>
      <c r="B460" s="2">
        <v>8.33333333333314E-2</v>
      </c>
      <c r="C460" t="s">
        <v>8</v>
      </c>
      <c r="D460">
        <v>609.7019806387641</v>
      </c>
      <c r="E460">
        <f t="shared" ca="1" si="22"/>
        <v>84.822823625719778</v>
      </c>
      <c r="F460">
        <f t="shared" ca="1" si="23"/>
        <v>1.9043864402464306</v>
      </c>
      <c r="G460" s="1" t="str">
        <f t="shared" ca="1" si="21"/>
        <v>INSERT INTO tableRegionAnimalTest VALUES (' 2019-01-06 ',' 02:00 ', 'Pinguin', '609.701980638764', '84.8228236257198', '1.90438644024643');</v>
      </c>
    </row>
    <row r="461" spans="1:7" x14ac:dyDescent="0.25">
      <c r="A461" s="1">
        <v>43471</v>
      </c>
      <c r="B461" s="2">
        <v>0.124999999999998</v>
      </c>
      <c r="C461" t="s">
        <v>8</v>
      </c>
      <c r="D461">
        <v>558.09148504924713</v>
      </c>
      <c r="E461">
        <f t="shared" ca="1" si="22"/>
        <v>84.387231801330998</v>
      </c>
      <c r="F461">
        <f t="shared" ca="1" si="23"/>
        <v>2.7604112163072592</v>
      </c>
      <c r="G461" s="1" t="str">
        <f t="shared" ca="1" si="21"/>
        <v>INSERT INTO tableRegionAnimalTest VALUES (' 2019-01-06 ',' 03:00 ', 'Pinguin', '558.091485049247', '84.387231801331', '2.76041121630726');</v>
      </c>
    </row>
    <row r="462" spans="1:7" x14ac:dyDescent="0.25">
      <c r="A462" s="1">
        <v>43471</v>
      </c>
      <c r="B462" s="2">
        <v>0.16666666666666499</v>
      </c>
      <c r="C462" t="s">
        <v>8</v>
      </c>
      <c r="D462">
        <v>560.19187965050457</v>
      </c>
      <c r="E462">
        <f t="shared" ca="1" si="22"/>
        <v>83.841012915843777</v>
      </c>
      <c r="F462">
        <f t="shared" ca="1" si="23"/>
        <v>2.1573997504205566</v>
      </c>
      <c r="G462" s="1" t="str">
        <f t="shared" ca="1" si="21"/>
        <v>INSERT INTO tableRegionAnimalTest VALUES (' 2019-01-06 ',' 04:00 ', 'Pinguin', '560.191879650505', '83.8410129158438', '2.15739975042056');</v>
      </c>
    </row>
    <row r="463" spans="1:7" x14ac:dyDescent="0.25">
      <c r="A463" s="1">
        <v>43471</v>
      </c>
      <c r="B463" s="2">
        <v>0.20833333333333201</v>
      </c>
      <c r="C463" t="s">
        <v>8</v>
      </c>
      <c r="D463">
        <v>559.20805112358846</v>
      </c>
      <c r="E463">
        <f t="shared" ca="1" si="22"/>
        <v>83.0721091072012</v>
      </c>
      <c r="F463">
        <f t="shared" ca="1" si="23"/>
        <v>2.5930233444609279</v>
      </c>
      <c r="G463" s="1" t="str">
        <f t="shared" ca="1" si="21"/>
        <v>INSERT INTO tableRegionAnimalTest VALUES (' 2019-01-06 ',' 05:00 ', 'Pinguin', '559.208051123588', '83.0721091072012', '2.59302334446093');</v>
      </c>
    </row>
    <row r="464" spans="1:7" x14ac:dyDescent="0.25">
      <c r="A464" s="1">
        <v>43471</v>
      </c>
      <c r="B464" s="2">
        <v>0.249999999999998</v>
      </c>
      <c r="C464" t="s">
        <v>8</v>
      </c>
      <c r="D464">
        <v>565.53685438294531</v>
      </c>
      <c r="E464">
        <f t="shared" ca="1" si="22"/>
        <v>82.424985792482119</v>
      </c>
      <c r="F464">
        <f t="shared" ca="1" si="23"/>
        <v>2.7535227859629243</v>
      </c>
      <c r="G464" s="1" t="str">
        <f t="shared" ca="1" si="21"/>
        <v>INSERT INTO tableRegionAnimalTest VALUES (' 2019-01-06 ',' 06:00 ', 'Pinguin', '565.536854382945', '82.4249857924821', '2.75352278596292');</v>
      </c>
    </row>
    <row r="465" spans="1:7" x14ac:dyDescent="0.25">
      <c r="A465" s="1">
        <v>43471</v>
      </c>
      <c r="B465" s="2">
        <v>0.29166666666666502</v>
      </c>
      <c r="C465" t="s">
        <v>8</v>
      </c>
      <c r="D465">
        <v>563.99405180220026</v>
      </c>
      <c r="E465">
        <f t="shared" ca="1" si="22"/>
        <v>81.829336776975424</v>
      </c>
      <c r="F465">
        <f t="shared" ca="1" si="23"/>
        <v>3.6939762912120373</v>
      </c>
      <c r="G465" s="1" t="str">
        <f t="shared" ca="1" si="21"/>
        <v>INSERT INTO tableRegionAnimalTest VALUES (' 2019-01-06 ',' 07:00 ', 'Pinguin', '563.9940518022', '81.8293367769754', '3.69397629121204');</v>
      </c>
    </row>
    <row r="466" spans="1:7" x14ac:dyDescent="0.25">
      <c r="A466" s="1">
        <v>43471</v>
      </c>
      <c r="B466" s="2">
        <v>0.33333333333333198</v>
      </c>
      <c r="C466" t="s">
        <v>8</v>
      </c>
      <c r="D466">
        <v>608.51668136817693</v>
      </c>
      <c r="E466">
        <f t="shared" ca="1" si="22"/>
        <v>80.847097329636725</v>
      </c>
      <c r="F466">
        <f t="shared" ca="1" si="23"/>
        <v>4.5583573187108088</v>
      </c>
      <c r="G466" s="1" t="str">
        <f t="shared" ca="1" si="21"/>
        <v>INSERT INTO tableRegionAnimalTest VALUES (' 2019-01-06 ',' 08:00 ', 'Pinguin', '608.516681368177', '80.8470973296367', '4.55835731871081');</v>
      </c>
    </row>
    <row r="467" spans="1:7" x14ac:dyDescent="0.25">
      <c r="A467" s="1">
        <v>43471</v>
      </c>
      <c r="B467" s="2">
        <v>0.374999999999999</v>
      </c>
      <c r="C467" t="s">
        <v>8</v>
      </c>
      <c r="D467">
        <v>632.35731098465226</v>
      </c>
      <c r="E467">
        <f t="shared" ca="1" si="22"/>
        <v>81.660851866823748</v>
      </c>
      <c r="F467">
        <f t="shared" ca="1" si="23"/>
        <v>5.3879799632738017</v>
      </c>
      <c r="G467" s="1" t="str">
        <f t="shared" ca="1" si="21"/>
        <v>INSERT INTO tableRegionAnimalTest VALUES (' 2019-01-06 ',' 09:00 ', 'Pinguin', '632.357310984652', '81.6608518668237', '5.3879799632738');</v>
      </c>
    </row>
    <row r="468" spans="1:7" x14ac:dyDescent="0.25">
      <c r="A468" s="1">
        <v>43471</v>
      </c>
      <c r="B468" s="2">
        <v>0.41666666666666502</v>
      </c>
      <c r="C468" t="s">
        <v>8</v>
      </c>
      <c r="D468">
        <v>698.96288520971325</v>
      </c>
      <c r="E468">
        <f t="shared" ca="1" si="22"/>
        <v>81.860598328997384</v>
      </c>
      <c r="F468">
        <f t="shared" ca="1" si="23"/>
        <v>5.1075984391450593</v>
      </c>
      <c r="G468" s="1" t="str">
        <f t="shared" ca="1" si="21"/>
        <v>INSERT INTO tableRegionAnimalTest VALUES (' 2019-01-06 ',' 10:00 ', 'Pinguin', '698.962885209713', '81.8605983289974', '5.10759843914506');</v>
      </c>
    </row>
    <row r="469" spans="1:7" x14ac:dyDescent="0.25">
      <c r="A469" s="1">
        <v>43471</v>
      </c>
      <c r="B469" s="2">
        <v>0.45833333333333198</v>
      </c>
      <c r="C469" t="s">
        <v>8</v>
      </c>
      <c r="D469">
        <v>760.40939644469029</v>
      </c>
      <c r="E469">
        <f t="shared" ca="1" si="22"/>
        <v>82.470403993076232</v>
      </c>
      <c r="F469">
        <f t="shared" ca="1" si="23"/>
        <v>4.5729439959635174</v>
      </c>
      <c r="G469" s="1" t="str">
        <f t="shared" ca="1" si="21"/>
        <v>INSERT INTO tableRegionAnimalTest VALUES (' 2019-01-06 ',' 11:00 ', 'Pinguin', '760.40939644469', '82.4704039930762', '4.57294399596352');</v>
      </c>
    </row>
    <row r="470" spans="1:7" x14ac:dyDescent="0.25">
      <c r="A470" s="1">
        <v>43471</v>
      </c>
      <c r="B470" s="2">
        <v>0.499999999999999</v>
      </c>
      <c r="C470" t="s">
        <v>8</v>
      </c>
      <c r="D470">
        <v>796.23572601149885</v>
      </c>
      <c r="E470">
        <f t="shared" ca="1" si="22"/>
        <v>81.727163557373117</v>
      </c>
      <c r="F470">
        <f t="shared" ca="1" si="23"/>
        <v>5.0205942987685619</v>
      </c>
      <c r="G470" s="1" t="str">
        <f t="shared" ca="1" si="21"/>
        <v>INSERT INTO tableRegionAnimalTest VALUES (' 2019-01-06 ',' 12:00 ', 'Pinguin', '796.235726011499', '81.7271635573731', '5.02059429876856');</v>
      </c>
    </row>
    <row r="471" spans="1:7" x14ac:dyDescent="0.25">
      <c r="A471" s="1">
        <v>43471</v>
      </c>
      <c r="B471" s="2">
        <v>0.54166666666666596</v>
      </c>
      <c r="C471" t="s">
        <v>8</v>
      </c>
      <c r="D471">
        <v>841.40157188759406</v>
      </c>
      <c r="E471">
        <f t="shared" ca="1" si="22"/>
        <v>80.801282539813499</v>
      </c>
      <c r="F471">
        <f t="shared" ca="1" si="23"/>
        <v>4.3225309884637841</v>
      </c>
      <c r="G471" s="1" t="str">
        <f t="shared" ca="1" si="21"/>
        <v>INSERT INTO tableRegionAnimalTest VALUES (' 2019-01-06 ',' 13:00 ', 'Pinguin', '841.401571887594', '80.8012825398135', '4.32253098846378');</v>
      </c>
    </row>
    <row r="472" spans="1:7" x14ac:dyDescent="0.25">
      <c r="A472" s="1">
        <v>43471</v>
      </c>
      <c r="B472" s="2">
        <v>0.58333333333333204</v>
      </c>
      <c r="C472" t="s">
        <v>8</v>
      </c>
      <c r="D472">
        <v>849.81872536504648</v>
      </c>
      <c r="E472">
        <f t="shared" ca="1" si="22"/>
        <v>81.265270188680759</v>
      </c>
      <c r="F472">
        <f t="shared" ca="1" si="23"/>
        <v>4.6600408128455779</v>
      </c>
      <c r="G472" s="1" t="str">
        <f t="shared" ca="1" si="21"/>
        <v>INSERT INTO tableRegionAnimalTest VALUES (' 2019-01-06 ',' 14:00 ', 'Pinguin', '849.818725365046', '81.2652701886808', '4.66004081284558');</v>
      </c>
    </row>
    <row r="473" spans="1:7" x14ac:dyDescent="0.25">
      <c r="A473" s="1">
        <v>43471</v>
      </c>
      <c r="B473" s="2">
        <v>0.624999999999999</v>
      </c>
      <c r="C473" t="s">
        <v>8</v>
      </c>
      <c r="D473">
        <v>911.03906639865045</v>
      </c>
      <c r="E473">
        <f t="shared" ca="1" si="22"/>
        <v>80.515935301606234</v>
      </c>
      <c r="F473">
        <f t="shared" ca="1" si="23"/>
        <v>5.2484519367277658</v>
      </c>
      <c r="G473" s="1" t="str">
        <f t="shared" ca="1" si="21"/>
        <v>INSERT INTO tableRegionAnimalTest VALUES (' 2019-01-06 ',' 15:00 ', 'Pinguin', '911.03906639865', '80.5159353016062', '5.24845193672777');</v>
      </c>
    </row>
    <row r="474" spans="1:7" x14ac:dyDescent="0.25">
      <c r="A474" s="1">
        <v>43471</v>
      </c>
      <c r="B474" s="2">
        <v>0.66666666666666596</v>
      </c>
      <c r="C474" t="s">
        <v>8</v>
      </c>
      <c r="D474">
        <v>929.35148527057129</v>
      </c>
      <c r="E474">
        <f t="shared" ca="1" si="22"/>
        <v>81.273883254550782</v>
      </c>
      <c r="F474">
        <f t="shared" ca="1" si="23"/>
        <v>5.2009909837014572</v>
      </c>
      <c r="G474" s="1" t="str">
        <f t="shared" ca="1" si="21"/>
        <v>INSERT INTO tableRegionAnimalTest VALUES (' 2019-01-06 ',' 16:00 ', 'Pinguin', '929.351485270571', '81.2738832545508', '5.20099098370146');</v>
      </c>
    </row>
    <row r="475" spans="1:7" x14ac:dyDescent="0.25">
      <c r="A475" s="1">
        <v>43471</v>
      </c>
      <c r="B475" s="2">
        <v>0.70833333333333304</v>
      </c>
      <c r="C475" t="s">
        <v>8</v>
      </c>
      <c r="D475">
        <v>953.85407837205253</v>
      </c>
      <c r="E475">
        <f t="shared" ca="1" si="22"/>
        <v>80.900289433338969</v>
      </c>
      <c r="F475">
        <f t="shared" ca="1" si="23"/>
        <v>4.2734923501964515</v>
      </c>
      <c r="G475" s="1" t="str">
        <f t="shared" ca="1" si="21"/>
        <v>INSERT INTO tableRegionAnimalTest VALUES (' 2019-01-06 ',' 17:00 ', 'Pinguin', '953.854078372053', '80.900289433339', '4.27349235019645');</v>
      </c>
    </row>
    <row r="476" spans="1:7" x14ac:dyDescent="0.25">
      <c r="A476" s="1">
        <v>43471</v>
      </c>
      <c r="B476" s="2">
        <v>0.749999999999999</v>
      </c>
      <c r="C476" t="s">
        <v>8</v>
      </c>
      <c r="D476">
        <v>951.46101911639528</v>
      </c>
      <c r="E476">
        <f t="shared" ca="1" si="22"/>
        <v>81.28969432591434</v>
      </c>
      <c r="F476">
        <f t="shared" ca="1" si="23"/>
        <v>4.9380298149810136</v>
      </c>
      <c r="G476" s="1" t="str">
        <f t="shared" ca="1" si="21"/>
        <v>INSERT INTO tableRegionAnimalTest VALUES (' 2019-01-06 ',' 18:00 ', 'Pinguin', '951.461019116395', '81.2896943259143', '4.93802981498101');</v>
      </c>
    </row>
    <row r="477" spans="1:7" x14ac:dyDescent="0.25">
      <c r="A477" s="1">
        <v>43471</v>
      </c>
      <c r="B477" s="2">
        <v>0.79166666666666596</v>
      </c>
      <c r="C477" t="s">
        <v>8</v>
      </c>
      <c r="D477">
        <v>917.69436099521931</v>
      </c>
      <c r="E477">
        <f t="shared" ca="1" si="22"/>
        <v>80.694219324269881</v>
      </c>
      <c r="F477">
        <f t="shared" ca="1" si="23"/>
        <v>5.9308067801304913</v>
      </c>
      <c r="G477" s="1" t="str">
        <f t="shared" ca="1" si="21"/>
        <v>INSERT INTO tableRegionAnimalTest VALUES (' 2019-01-06 ',' 19:00 ', 'Pinguin', '917.694360995219', '80.6942193242699', '5.93080678013049');</v>
      </c>
    </row>
    <row r="478" spans="1:7" x14ac:dyDescent="0.25">
      <c r="A478" s="1">
        <v>43471</v>
      </c>
      <c r="B478" s="2">
        <v>0.83333333333333304</v>
      </c>
      <c r="C478" t="s">
        <v>8</v>
      </c>
      <c r="D478">
        <v>883.97506701956934</v>
      </c>
      <c r="E478">
        <f t="shared" ca="1" si="22"/>
        <v>81.347859511090647</v>
      </c>
      <c r="F478">
        <f t="shared" ca="1" si="23"/>
        <v>5.3083909615288283</v>
      </c>
      <c r="G478" s="1" t="str">
        <f t="shared" ca="1" si="21"/>
        <v>INSERT INTO tableRegionAnimalTest VALUES (' 2019-01-06 ',' 20:00 ', 'Pinguin', '883.975067019569', '81.3478595110906', '5.30839096152883');</v>
      </c>
    </row>
    <row r="479" spans="1:7" x14ac:dyDescent="0.25">
      <c r="A479" s="1">
        <v>43471</v>
      </c>
      <c r="B479" s="2">
        <v>0.875</v>
      </c>
      <c r="C479" t="s">
        <v>8</v>
      </c>
      <c r="D479">
        <v>804.30926374443641</v>
      </c>
      <c r="E479">
        <f t="shared" ca="1" si="22"/>
        <v>81.557058402824097</v>
      </c>
      <c r="F479">
        <f t="shared" ca="1" si="23"/>
        <v>5.1041331455694809</v>
      </c>
      <c r="G479" s="1" t="str">
        <f t="shared" ca="1" si="21"/>
        <v>INSERT INTO tableRegionAnimalTest VALUES (' 2019-01-06 ',' 21:00 ', 'Pinguin', '804.309263744436', '81.5570584028241', '5.10413314556948');</v>
      </c>
    </row>
    <row r="480" spans="1:7" x14ac:dyDescent="0.25">
      <c r="A480" s="1">
        <v>43471</v>
      </c>
      <c r="B480" s="2">
        <v>0.91666666666666663</v>
      </c>
      <c r="C480" t="s">
        <v>8</v>
      </c>
      <c r="D480">
        <v>792.71597019826095</v>
      </c>
      <c r="E480">
        <f t="shared" ca="1" si="22"/>
        <v>80.870595950192538</v>
      </c>
      <c r="F480">
        <f t="shared" ca="1" si="23"/>
        <v>4.4680864671433076</v>
      </c>
      <c r="G480" s="1" t="str">
        <f t="shared" ca="1" si="21"/>
        <v>INSERT INTO tableRegionAnimalTest VALUES (' 2019-01-06 ',' 22:00 ', 'Pinguin', '792.715970198261', '80.8705959501925', '4.46808646714331');</v>
      </c>
    </row>
    <row r="481" spans="1:7" x14ac:dyDescent="0.25">
      <c r="A481" s="1">
        <v>43471</v>
      </c>
      <c r="B481" s="2">
        <v>0.95833333333333337</v>
      </c>
      <c r="C481" t="s">
        <v>8</v>
      </c>
      <c r="D481">
        <v>736.11072827678049</v>
      </c>
      <c r="E481">
        <f t="shared" ca="1" si="22"/>
        <v>81.657618644057067</v>
      </c>
      <c r="F481">
        <f t="shared" ca="1" si="23"/>
        <v>3.8971869243526842</v>
      </c>
      <c r="G481" s="1" t="str">
        <f t="shared" ca="1" si="21"/>
        <v>INSERT INTO tableRegionAnimalTest VALUES (' 2019-01-06 ',' 23:00 ', 'Pinguin', '736.11072827678', '81.6576186440571', '3.89718692435268');</v>
      </c>
    </row>
    <row r="482" spans="1:7" x14ac:dyDescent="0.25">
      <c r="A482" s="1">
        <v>43472</v>
      </c>
      <c r="B482" s="2">
        <v>0</v>
      </c>
      <c r="C482" t="s">
        <v>8</v>
      </c>
      <c r="D482">
        <v>680.18733718234148</v>
      </c>
      <c r="E482">
        <f t="shared" ca="1" si="22"/>
        <v>80.937042520602787</v>
      </c>
      <c r="F482">
        <f t="shared" ca="1" si="23"/>
        <v>4.5726646925436452</v>
      </c>
      <c r="G482" s="1" t="str">
        <f t="shared" ca="1" si="21"/>
        <v>INSERT INTO tableRegionAnimalTest VALUES (' 2019-01-07 ',' 00:00 ', 'Pinguin', '680.187337182341', '80.9370425206028', '4.57266469254365');</v>
      </c>
    </row>
    <row r="483" spans="1:7" x14ac:dyDescent="0.25">
      <c r="A483" s="1">
        <v>43472</v>
      </c>
      <c r="B483" s="2">
        <v>4.1666666666665401E-2</v>
      </c>
      <c r="C483" t="s">
        <v>8</v>
      </c>
      <c r="D483">
        <v>655.52113687548604</v>
      </c>
      <c r="E483">
        <f t="shared" ca="1" si="22"/>
        <v>81.331124505698625</v>
      </c>
      <c r="F483">
        <f t="shared" ca="1" si="23"/>
        <v>4.0687451934600221</v>
      </c>
      <c r="G483" s="1" t="str">
        <f t="shared" ca="1" si="21"/>
        <v>INSERT INTO tableRegionAnimalTest VALUES (' 2019-01-07 ',' 01:00 ', 'Pinguin', '655.521136875486', '81.3311245056986', '4.06874519346002');</v>
      </c>
    </row>
    <row r="484" spans="1:7" x14ac:dyDescent="0.25">
      <c r="A484" s="1">
        <v>43472</v>
      </c>
      <c r="B484" s="2">
        <v>8.33333333333314E-2</v>
      </c>
      <c r="C484" t="s">
        <v>8</v>
      </c>
      <c r="D484">
        <v>578.10949033822158</v>
      </c>
      <c r="E484">
        <f t="shared" ca="1" si="22"/>
        <v>82.07923426718925</v>
      </c>
      <c r="F484">
        <f t="shared" ca="1" si="23"/>
        <v>4.5223052186726234</v>
      </c>
      <c r="G484" s="1" t="str">
        <f t="shared" ca="1" si="21"/>
        <v>INSERT INTO tableRegionAnimalTest VALUES (' 2019-01-07 ',' 02:00 ', 'Pinguin', '578.109490338222', '82.0792342671892', '4.52230521867262');</v>
      </c>
    </row>
    <row r="485" spans="1:7" x14ac:dyDescent="0.25">
      <c r="A485" s="1">
        <v>43472</v>
      </c>
      <c r="B485" s="2">
        <v>0.124999999999998</v>
      </c>
      <c r="C485" t="s">
        <v>8</v>
      </c>
      <c r="D485">
        <v>536.7257454532039</v>
      </c>
      <c r="E485">
        <f t="shared" ca="1" si="22"/>
        <v>81.534186201476558</v>
      </c>
      <c r="F485">
        <f t="shared" ca="1" si="23"/>
        <v>3.9195651510445257</v>
      </c>
      <c r="G485" s="1" t="str">
        <f t="shared" ca="1" si="21"/>
        <v>INSERT INTO tableRegionAnimalTest VALUES (' 2019-01-07 ',' 03:00 ', 'Pinguin', '536.725745453204', '81.5341862014766', '3.91956515104453');</v>
      </c>
    </row>
    <row r="486" spans="1:7" x14ac:dyDescent="0.25">
      <c r="A486" s="1">
        <v>43472</v>
      </c>
      <c r="B486" s="2">
        <v>0.16666666666666499</v>
      </c>
      <c r="C486" t="s">
        <v>8</v>
      </c>
      <c r="D486">
        <v>565.87431059573726</v>
      </c>
      <c r="E486">
        <f t="shared" ca="1" si="22"/>
        <v>80.81284443638441</v>
      </c>
      <c r="F486">
        <f t="shared" ca="1" si="23"/>
        <v>3.8851598791648039</v>
      </c>
      <c r="G486" s="1" t="str">
        <f t="shared" ca="1" si="21"/>
        <v>INSERT INTO tableRegionAnimalTest VALUES (' 2019-01-07 ',' 04:00 ', 'Pinguin', '565.874310595737', '80.8128444363844', '3.8851598791648');</v>
      </c>
    </row>
    <row r="487" spans="1:7" x14ac:dyDescent="0.25">
      <c r="A487" s="1">
        <v>43472</v>
      </c>
      <c r="B487" s="2">
        <v>0.20833333333333201</v>
      </c>
      <c r="C487" t="s">
        <v>8</v>
      </c>
      <c r="D487">
        <v>538.89294919752524</v>
      </c>
      <c r="E487">
        <f t="shared" ca="1" si="22"/>
        <v>80.977009121740878</v>
      </c>
      <c r="F487">
        <f t="shared" ca="1" si="23"/>
        <v>3.2373052733796674</v>
      </c>
      <c r="G487" s="1" t="str">
        <f t="shared" ca="1" si="21"/>
        <v>INSERT INTO tableRegionAnimalTest VALUES (' 2019-01-07 ',' 05:00 ', 'Pinguin', '538.892949197525', '80.9770091217409', '3.23730527337967');</v>
      </c>
    </row>
    <row r="488" spans="1:7" x14ac:dyDescent="0.25">
      <c r="A488" s="1">
        <v>43472</v>
      </c>
      <c r="B488" s="2">
        <v>0.249999999999998</v>
      </c>
      <c r="C488" t="s">
        <v>8</v>
      </c>
      <c r="D488">
        <v>552.09350412076867</v>
      </c>
      <c r="E488">
        <f t="shared" ca="1" si="22"/>
        <v>81.070230862672517</v>
      </c>
      <c r="F488">
        <f t="shared" ca="1" si="23"/>
        <v>2.2624273309362852</v>
      </c>
      <c r="G488" s="1" t="str">
        <f t="shared" ca="1" si="21"/>
        <v>INSERT INTO tableRegionAnimalTest VALUES (' 2019-01-07 ',' 06:00 ', 'Pinguin', '552.093504120769', '81.0702308626725', '2.26242733093629');</v>
      </c>
    </row>
    <row r="489" spans="1:7" x14ac:dyDescent="0.25">
      <c r="A489" s="1">
        <v>43472</v>
      </c>
      <c r="B489" s="2">
        <v>0.29166666666666502</v>
      </c>
      <c r="C489" t="s">
        <v>8</v>
      </c>
      <c r="D489">
        <v>584.98551986599136</v>
      </c>
      <c r="E489">
        <f t="shared" ca="1" si="22"/>
        <v>80.813526388044025</v>
      </c>
      <c r="F489">
        <f t="shared" ca="1" si="23"/>
        <v>1.4648803276961933</v>
      </c>
      <c r="G489" s="1" t="str">
        <f t="shared" ca="1" si="21"/>
        <v>INSERT INTO tableRegionAnimalTest VALUES (' 2019-01-07 ',' 07:00 ', 'Pinguin', '584.985519865991', '80.813526388044', '1.46488032769619');</v>
      </c>
    </row>
    <row r="490" spans="1:7" x14ac:dyDescent="0.25">
      <c r="A490" s="1">
        <v>43472</v>
      </c>
      <c r="B490" s="2">
        <v>0.33333333333333198</v>
      </c>
      <c r="C490" t="s">
        <v>8</v>
      </c>
      <c r="D490">
        <v>594.35451134947937</v>
      </c>
      <c r="E490">
        <f t="shared" ca="1" si="22"/>
        <v>81.23984642863519</v>
      </c>
      <c r="F490">
        <f t="shared" ca="1" si="23"/>
        <v>1.3961889529467961</v>
      </c>
      <c r="G490" s="1" t="str">
        <f t="shared" ca="1" si="21"/>
        <v>INSERT INTO tableRegionAnimalTest VALUES (' 2019-01-07 ',' 08:00 ', 'Pinguin', '594.354511349479', '81.2398464286352', '1.3961889529468');</v>
      </c>
    </row>
    <row r="491" spans="1:7" x14ac:dyDescent="0.25">
      <c r="A491" s="1">
        <v>43472</v>
      </c>
      <c r="B491" s="2">
        <v>0.374999999999999</v>
      </c>
      <c r="C491" t="s">
        <v>8</v>
      </c>
      <c r="D491">
        <v>611.20235796716543</v>
      </c>
      <c r="E491">
        <f t="shared" ca="1" si="22"/>
        <v>81.884309490059152</v>
      </c>
      <c r="F491">
        <f t="shared" ca="1" si="23"/>
        <v>1.111196198084575</v>
      </c>
      <c r="G491" s="1" t="str">
        <f t="shared" ca="1" si="21"/>
        <v>INSERT INTO tableRegionAnimalTest VALUES (' 2019-01-07 ',' 09:00 ', 'Pinguin', '611.202357967165', '81.8843094900592', '1.11119619808458');</v>
      </c>
    </row>
    <row r="492" spans="1:7" x14ac:dyDescent="0.25">
      <c r="A492" s="1">
        <v>43472</v>
      </c>
      <c r="B492" s="2">
        <v>0.41666666666666502</v>
      </c>
      <c r="C492" t="s">
        <v>8</v>
      </c>
      <c r="D492">
        <v>663.59781793072148</v>
      </c>
      <c r="E492">
        <f t="shared" ca="1" si="22"/>
        <v>80.977455611168978</v>
      </c>
      <c r="F492">
        <f t="shared" ca="1" si="23"/>
        <v>0.82814268572443195</v>
      </c>
      <c r="G492" s="1" t="str">
        <f t="shared" ca="1" si="21"/>
        <v>INSERT INTO tableRegionAnimalTest VALUES (' 2019-01-07 ',' 10:00 ', 'Pinguin', '663.597817930721', '80.977455611169', '0.828142685724432');</v>
      </c>
    </row>
    <row r="493" spans="1:7" x14ac:dyDescent="0.25">
      <c r="A493" s="1">
        <v>43472</v>
      </c>
      <c r="B493" s="2">
        <v>0.45833333333333198</v>
      </c>
      <c r="C493" t="s">
        <v>8</v>
      </c>
      <c r="D493">
        <v>734.0720902133952</v>
      </c>
      <c r="E493">
        <f t="shared" ca="1" si="22"/>
        <v>81.272968512564134</v>
      </c>
      <c r="F493">
        <f t="shared" ca="1" si="23"/>
        <v>1.0260010011803613</v>
      </c>
      <c r="G493" s="1" t="str">
        <f t="shared" ca="1" si="21"/>
        <v>INSERT INTO tableRegionAnimalTest VALUES (' 2019-01-07 ',' 11:00 ', 'Pinguin', '734.072090213395', '81.2729685125641', '1.02600100118036');</v>
      </c>
    </row>
    <row r="494" spans="1:7" x14ac:dyDescent="0.25">
      <c r="A494" s="1">
        <v>43472</v>
      </c>
      <c r="B494" s="2">
        <v>0.499999999999999</v>
      </c>
      <c r="C494" t="s">
        <v>8</v>
      </c>
      <c r="D494">
        <v>761.09441575427093</v>
      </c>
      <c r="E494">
        <f t="shared" ca="1" si="22"/>
        <v>82.001557655714549</v>
      </c>
      <c r="F494">
        <f t="shared" ca="1" si="23"/>
        <v>0.43417636235775936</v>
      </c>
      <c r="G494" s="1" t="str">
        <f t="shared" ca="1" si="21"/>
        <v>INSERT INTO tableRegionAnimalTest VALUES (' 2019-01-07 ',' 12:00 ', 'Pinguin', '761.094415754271', '82.0015576557145', '0.434176362357759');</v>
      </c>
    </row>
    <row r="495" spans="1:7" x14ac:dyDescent="0.25">
      <c r="A495" s="1">
        <v>43472</v>
      </c>
      <c r="B495" s="2">
        <v>0.54166666666666596</v>
      </c>
      <c r="C495" t="s">
        <v>8</v>
      </c>
      <c r="D495">
        <v>818.11192452524563</v>
      </c>
      <c r="E495">
        <f t="shared" ca="1" si="22"/>
        <v>81.585715608936837</v>
      </c>
      <c r="F495">
        <f t="shared" ca="1" si="23"/>
        <v>0.48164673308840045</v>
      </c>
      <c r="G495" s="1" t="str">
        <f t="shared" ca="1" si="21"/>
        <v>INSERT INTO tableRegionAnimalTest VALUES (' 2019-01-07 ',' 13:00 ', 'Pinguin', '818.111924525246', '81.5857156089368', '0.4816467330884');</v>
      </c>
    </row>
    <row r="496" spans="1:7" x14ac:dyDescent="0.25">
      <c r="A496" s="1">
        <v>43472</v>
      </c>
      <c r="B496" s="2">
        <v>0.58333333333333204</v>
      </c>
      <c r="C496" t="s">
        <v>8</v>
      </c>
      <c r="D496">
        <v>881.45136008084296</v>
      </c>
      <c r="E496">
        <f t="shared" ca="1" si="22"/>
        <v>80.9866725490986</v>
      </c>
      <c r="F496">
        <f t="shared" ca="1" si="23"/>
        <v>1.3686123757494877</v>
      </c>
      <c r="G496" s="1" t="str">
        <f t="shared" ca="1" si="21"/>
        <v>INSERT INTO tableRegionAnimalTest VALUES (' 2019-01-07 ',' 14:00 ', 'Pinguin', '881.451360080843', '80.9866725490986', '1.36861237574949');</v>
      </c>
    </row>
    <row r="497" spans="1:7" x14ac:dyDescent="0.25">
      <c r="A497" s="1">
        <v>43472</v>
      </c>
      <c r="B497" s="2">
        <v>0.624999999999999</v>
      </c>
      <c r="C497" t="s">
        <v>8</v>
      </c>
      <c r="D497">
        <v>878.18894683323549</v>
      </c>
      <c r="E497">
        <f t="shared" ca="1" si="22"/>
        <v>81.700573989477675</v>
      </c>
      <c r="F497">
        <f t="shared" ca="1" si="23"/>
        <v>2.1688970424004563</v>
      </c>
      <c r="G497" s="1" t="str">
        <f t="shared" ca="1" si="21"/>
        <v>INSERT INTO tableRegionAnimalTest VALUES (' 2019-01-07 ',' 15:00 ', 'Pinguin', '878.188946833235', '81.7005739894777', '2.16889704240046');</v>
      </c>
    </row>
    <row r="498" spans="1:7" x14ac:dyDescent="0.25">
      <c r="A498" s="1">
        <v>43472</v>
      </c>
      <c r="B498" s="2">
        <v>0.66666666666666596</v>
      </c>
      <c r="C498" t="s">
        <v>8</v>
      </c>
      <c r="D498">
        <v>923.58208884955752</v>
      </c>
      <c r="E498">
        <f t="shared" ca="1" si="22"/>
        <v>81.543006828472087</v>
      </c>
      <c r="F498">
        <f t="shared" ca="1" si="23"/>
        <v>2.9612912131460072</v>
      </c>
      <c r="G498" s="1" t="str">
        <f t="shared" ca="1" si="21"/>
        <v>INSERT INTO tableRegionAnimalTest VALUES (' 2019-01-07 ',' 16:00 ', 'Pinguin', '923.582088849558', '81.5430068284721', '2.96129121314601');</v>
      </c>
    </row>
    <row r="499" spans="1:7" x14ac:dyDescent="0.25">
      <c r="A499" s="1">
        <v>43472</v>
      </c>
      <c r="B499" s="2">
        <v>0.70833333333333304</v>
      </c>
      <c r="C499" t="s">
        <v>8</v>
      </c>
      <c r="D499">
        <v>945.45079465140213</v>
      </c>
      <c r="E499">
        <f t="shared" ca="1" si="22"/>
        <v>81.353828297626819</v>
      </c>
      <c r="F499">
        <f t="shared" ca="1" si="23"/>
        <v>3.7313700266254712</v>
      </c>
      <c r="G499" s="1" t="str">
        <f t="shared" ca="1" si="21"/>
        <v>INSERT INTO tableRegionAnimalTest VALUES (' 2019-01-07 ',' 17:00 ', 'Pinguin', '945.450794651402', '81.3538282976268', '3.73137002662547');</v>
      </c>
    </row>
    <row r="500" spans="1:7" x14ac:dyDescent="0.25">
      <c r="A500" s="1">
        <v>43472</v>
      </c>
      <c r="B500" s="2">
        <v>0.749999999999999</v>
      </c>
      <c r="C500" t="s">
        <v>8</v>
      </c>
      <c r="D500">
        <v>916.5379249161964</v>
      </c>
      <c r="E500">
        <f t="shared" ca="1" si="22"/>
        <v>82.188799027991223</v>
      </c>
      <c r="F500">
        <f t="shared" ca="1" si="23"/>
        <v>4.4429608085540435</v>
      </c>
      <c r="G500" s="1" t="str">
        <f t="shared" ca="1" si="21"/>
        <v>INSERT INTO tableRegionAnimalTest VALUES (' 2019-01-07 ',' 18:00 ', 'Pinguin', '916.537924916196', '82.1887990279912', '4.44296080855404');</v>
      </c>
    </row>
    <row r="501" spans="1:7" x14ac:dyDescent="0.25">
      <c r="A501" s="1">
        <v>43472</v>
      </c>
      <c r="B501" s="2">
        <v>0.79166666666666596</v>
      </c>
      <c r="C501" t="s">
        <v>8</v>
      </c>
      <c r="D501">
        <v>892.35183016491351</v>
      </c>
      <c r="E501">
        <f t="shared" ca="1" si="22"/>
        <v>83.036915548946965</v>
      </c>
      <c r="F501">
        <f t="shared" ca="1" si="23"/>
        <v>5.3447316916041032</v>
      </c>
      <c r="G501" s="1" t="str">
        <f t="shared" ca="1" si="21"/>
        <v>INSERT INTO tableRegionAnimalTest VALUES (' 2019-01-07 ',' 19:00 ', 'Pinguin', '892.351830164914', '83.036915548947', '5.3447316916041');</v>
      </c>
    </row>
    <row r="502" spans="1:7" x14ac:dyDescent="0.25">
      <c r="A502" s="1">
        <v>43472</v>
      </c>
      <c r="B502" s="2">
        <v>0.83333333333333304</v>
      </c>
      <c r="C502" t="s">
        <v>8</v>
      </c>
      <c r="D502">
        <v>881.90092940754141</v>
      </c>
      <c r="E502">
        <f t="shared" ca="1" si="22"/>
        <v>82.502465785555685</v>
      </c>
      <c r="F502">
        <f t="shared" ca="1" si="23"/>
        <v>4.4759027918791743</v>
      </c>
      <c r="G502" s="1" t="str">
        <f t="shared" ca="1" si="21"/>
        <v>INSERT INTO tableRegionAnimalTest VALUES (' 2019-01-07 ',' 20:00 ', 'Pinguin', '881.900929407541', '82.5024657855557', '4.47590279187917');</v>
      </c>
    </row>
    <row r="503" spans="1:7" x14ac:dyDescent="0.25">
      <c r="A503" s="1">
        <v>43472</v>
      </c>
      <c r="B503" s="2">
        <v>0.875</v>
      </c>
      <c r="C503" t="s">
        <v>8</v>
      </c>
      <c r="D503">
        <v>826.83868859093218</v>
      </c>
      <c r="E503">
        <f t="shared" ca="1" si="22"/>
        <v>83.160794499856451</v>
      </c>
      <c r="F503">
        <f t="shared" ca="1" si="23"/>
        <v>4.7304309503784854</v>
      </c>
      <c r="G503" s="1" t="str">
        <f t="shared" ca="1" si="21"/>
        <v>INSERT INTO tableRegionAnimalTest VALUES (' 2019-01-07 ',' 21:00 ', 'Pinguin', '826.838688590932', '83.1607944998565', '4.73043095037849');</v>
      </c>
    </row>
    <row r="504" spans="1:7" x14ac:dyDescent="0.25">
      <c r="A504" s="1">
        <v>43472</v>
      </c>
      <c r="B504" s="2">
        <v>0.91666666666666663</v>
      </c>
      <c r="C504" t="s">
        <v>8</v>
      </c>
      <c r="D504">
        <v>807.06298935349525</v>
      </c>
      <c r="E504">
        <f t="shared" ca="1" si="22"/>
        <v>83.633718007432634</v>
      </c>
      <c r="F504">
        <f t="shared" ca="1" si="23"/>
        <v>5.0804402329660014</v>
      </c>
      <c r="G504" s="1" t="str">
        <f t="shared" ca="1" si="21"/>
        <v>INSERT INTO tableRegionAnimalTest VALUES (' 2019-01-07 ',' 22:00 ', 'Pinguin', '807.062989353495', '83.6337180074326', '5.080440232966');</v>
      </c>
    </row>
    <row r="505" spans="1:7" x14ac:dyDescent="0.25">
      <c r="A505" s="1">
        <v>43472</v>
      </c>
      <c r="B505" s="2">
        <v>0.95833333333333337</v>
      </c>
      <c r="C505" t="s">
        <v>8</v>
      </c>
      <c r="D505">
        <v>713.3401728410181</v>
      </c>
      <c r="E505">
        <f t="shared" ca="1" si="22"/>
        <v>83.594127052061282</v>
      </c>
      <c r="F505">
        <f t="shared" ca="1" si="23"/>
        <v>4.5292278489678548</v>
      </c>
      <c r="G505" s="1" t="str">
        <f t="shared" ca="1" si="21"/>
        <v>INSERT INTO tableRegionAnimalTest VALUES (' 2019-01-07 ',' 23:00 ', 'Pinguin', '713.340172841018', '83.5941270520613', '4.52922784896785');</v>
      </c>
    </row>
  </sheetData>
  <sortState ref="A2:F505">
    <sortCondition ref="C2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7" sqref="C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SourceData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2020-06-05T00:52:01Z</dcterms:created>
  <dcterms:modified xsi:type="dcterms:W3CDTF">2020-06-07T08:34:30Z</dcterms:modified>
</cp:coreProperties>
</file>